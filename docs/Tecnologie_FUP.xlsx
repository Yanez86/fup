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cnologie" sheetId="1" state="visible" r:id="rId3"/>
    <sheet name="Riepilogo" sheetId="2" state="visible" r:id="rId4"/>
  </sheets>
  <definedNames>
    <definedName function="false" hidden="true" localSheetId="0" name="_xlnm._FilterDatabase" vbProcedure="false">Tecnologie!$A$1:$T$47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<sst xmlns="http://schemas.openxmlformats.org/spreadsheetml/2006/main" count="362" uniqueCount="197">
  <si>
    <t xml:space="preserve">Albero</t>
  </si>
  <si>
    <t xml:space="preserve">Livello</t>
  </si>
  <si>
    <t xml:space="preserve">Tecnologia</t>
  </si>
  <si>
    <t xml:space="preserve">Richiede</t>
  </si>
  <si>
    <t xml:space="preserve">Sblocca tecnologie</t>
  </si>
  <si>
    <t xml:space="preserve">Sblocca policy</t>
  </si>
  <si>
    <t xml:space="preserve">Costo ricerca (€)</t>
  </si>
  <si>
    <t xml:space="preserve">Ricerca (settimane)</t>
  </si>
  <si>
    <t xml:space="preserve">Installazione per magazzino (€)</t>
  </si>
  <si>
    <t xml:space="preserve">Canone mensile per magazzino (€)</t>
  </si>
  <si>
    <t xml:space="preserve">Apprendimento (settimane)</t>
  </si>
  <si>
    <t xml:space="preserve">Puntualità</t>
  </si>
  <si>
    <t xml:space="preserve">Accuratezza</t>
  </si>
  <si>
    <t xml:space="preserve">Produttività</t>
  </si>
  <si>
    <t xml:space="preserve">Saturazione mezzi</t>
  </si>
  <si>
    <t xml:space="preserve">Morale</t>
  </si>
  <si>
    <t xml:space="preserve">Attrattività</t>
  </si>
  <si>
    <t xml:space="preserve">Altri effetti</t>
  </si>
  <si>
    <t xml:space="preserve">Effetto (testo del gioco)</t>
  </si>
  <si>
    <t xml:space="preserve">Cos'è</t>
  </si>
  <si>
    <t xml:space="preserve">Logistica</t>
  </si>
  <si>
    <t xml:space="preserve">Lettori barcode</t>
  </si>
  <si>
    <t xml:space="preserve">—</t>
  </si>
  <si>
    <t xml:space="preserve">WMS di base</t>
  </si>
  <si>
    <t xml:space="preserve">Doppia spunta in uscita</t>
  </si>
  <si>
    <t xml:space="preserve">Meno errori di prelievo. Sblocca la policy «Doppia spunta in uscita».</t>
  </si>
  <si>
    <t xml:space="preserve">Ogni collo ha la sua etichetta a barre. Il magazziniere spara il codice e il sistema controlla che sia l'articolo giusto.</t>
  </si>
  <si>
    <t xml:space="preserve">Formazione strutturata</t>
  </si>
  <si>
    <t xml:space="preserve">Sicurezza muletti</t>
  </si>
  <si>
    <t xml:space="preserve">Rotazione delle mansioni</t>
  </si>
  <si>
    <t xml:space="preserve">Corsi sul campo nel magazzino: accuratezza +1 e produttività +3%. Sblocca la policy «Rotazione delle mansioni».</t>
  </si>
  <si>
    <t xml:space="preserve">Corsi veri al posto del solito «guarda come faccio io». Chi sa cosa fare sbaglia meno e lavora più tranquillo.</t>
  </si>
  <si>
    <t xml:space="preserve">Telematica GPS</t>
  </si>
  <si>
    <t xml:space="preserve">Pianificazione rotte</t>
  </si>
  <si>
    <t xml:space="preserve">Limite 80 all'ora per i bilici</t>
  </si>
  <si>
    <t xml:space="preserve">Mezzi visibili in tempo reale: meno ritardi, saturazione dei mezzi +2. Sblocca la policy «Limite 80 all'ora per i bilici».</t>
  </si>
  <si>
    <t xml:space="preserve">Una scatoletta su ogni camion che dice dove si trova. Basta telefonate all'autista per sapere quando arriva.</t>
  </si>
  <si>
    <t xml:space="preserve">Radiofrequenza, Magazzino verticale</t>
  </si>
  <si>
    <t xml:space="preserve">Il magazzino sa dove sta ogni pallet.</t>
  </si>
  <si>
    <t xml:space="preserve">Il programma che governa il magazzino. Sa dov'è ogni pallet e dice al personale dove metterlo e dove prenderlo.</t>
  </si>
  <si>
    <t xml:space="preserve">Magazzino verticale</t>
  </si>
  <si>
    <t xml:space="preserve">Corso sicurezza obbligatorio</t>
  </si>
  <si>
    <t xml:space="preserve">Sensori anti-collisione: meno danni e infortuni. Sblocca la policy «Corso sicurezza obbligatorio».</t>
  </si>
  <si>
    <t xml:space="preserve">Sensori e luci blu sui muletti. Avvisano il carrellista quando qualcuno è troppo vicino.</t>
  </si>
  <si>
    <t xml:space="preserve">Sinergia in pianificazione</t>
  </si>
  <si>
    <t xml:space="preserve">Gasolio −5%</t>
  </si>
  <si>
    <t xml:space="preserve">Percorsi ottimizzati: gasolio −5%, saturazione dei mezzi +5.</t>
  </si>
  <si>
    <t xml:space="preserve">Un programma calcola il giro migliore per ogni camion. Meno chilometri a vuoto, meno gasolio.</t>
  </si>
  <si>
    <t xml:space="preserve">Radiofrequenza</t>
  </si>
  <si>
    <t xml:space="preserve">Pick-to-light</t>
  </si>
  <si>
    <t xml:space="preserve">Terminali senza carta: produttività +10%.</t>
  </si>
  <si>
    <t xml:space="preserve">Terminali portatili collegati al WMS. Le liste di prelievo arrivano sullo schermo, non più su carta.</t>
  </si>
  <si>
    <t xml:space="preserve">WMS di base, Sicurezza muletti</t>
  </si>
  <si>
    <t xml:space="preserve">Robot mobili (AMR)</t>
  </si>
  <si>
    <t xml:space="preserve">Capacità +20%</t>
  </si>
  <si>
    <t xml:space="preserve">Scaffalature automatiche: capacità +20%.</t>
  </si>
  <si>
    <t xml:space="preserve">Torri automatiche che portano la merce all'operatore. Si sfrutta tutta l'altezza del capannone.</t>
  </si>
  <si>
    <t xml:space="preserve">Saturazione +4 per cliente in più (max +15)</t>
  </si>
  <si>
    <t xml:space="preserve">Merce di clienti diversi sullo stesso camion: saturazione dei mezzi +4 per ogni cliente oltre il primo (massimo +15), se servono gli stessi canali.</t>
  </si>
  <si>
    <t xml:space="preserve">I pianificatori mettono insieme la merce di clienti diversi diretta nella stessa zona. Si viaggia più pieni.</t>
  </si>
  <si>
    <t xml:space="preserve">Picking guidato dalle luci: produttività +15%.</t>
  </si>
  <si>
    <t xml:space="preserve">Una luce si accende sulla casella da cui prelevare e indica quanti pezzi prendere. Si va veloci e si sbaglia poco.</t>
  </si>
  <si>
    <t xml:space="preserve">Pick-to-light, Magazzino verticale</t>
  </si>
  <si>
    <t xml:space="preserve">Robot che portano gli scaffali agli operatori: produttività +40%.</t>
  </si>
  <si>
    <t xml:space="preserve">Piccoli robot girano per il magazzino e portano gli scaffali a chi prepara gli ordini. Nessuno cammina più per chilometri.</t>
  </si>
  <si>
    <t xml:space="preserve">Sviluppo aziendale</t>
  </si>
  <si>
    <t xml:space="preserve">Gestionale amministrativo</t>
  </si>
  <si>
    <t xml:space="preserve">Ufficio del personale, Struttura direzionale</t>
  </si>
  <si>
    <t xml:space="preserve">Fatture e paghe informatizzate: costi fissi −3%, ogni impiegato regge più volume.</t>
  </si>
  <si>
    <t xml:space="preserve">Un unico programma per fatture, paghe e contabilità. Addio fogli Excel sparsi sulle scrivanie.</t>
  </si>
  <si>
    <t xml:space="preserve">Regolamento aziendale</t>
  </si>
  <si>
    <t xml:space="preserve">Zero straordinario, Sabato obbligatorio, Telefoni nell'armadietto</t>
  </si>
  <si>
    <t xml:space="preserve">Apre la finestra Policy e sblocca le prime tre: Zero straordinario, Sabato obbligatorio e Telefoni nell'armadietto.</t>
  </si>
  <si>
    <t xml:space="preserve">Un fascicolo di regole scritte e firmate, appeso in bacheca accanto alla macchinetta del caffè. Finalmente si sa chi decide cosa.</t>
  </si>
  <si>
    <t xml:space="preserve">Ufficio del personale</t>
  </si>
  <si>
    <t xml:space="preserve">Piattaforma welfare</t>
  </si>
  <si>
    <t xml:space="preserve">Niente cooperative</t>
  </si>
  <si>
    <t xml:space="preserve">Selezione più rapida: tempi di assunzione −20%. Sblocca la policy «Niente cooperative».</t>
  </si>
  <si>
    <t xml:space="preserve">Un ufficio che si occupa solo di cercare, assumere e seguire le persone.</t>
  </si>
  <si>
    <t xml:space="preserve">Struttura direzionale</t>
  </si>
  <si>
    <t xml:space="preserve">Controllo di gestione</t>
  </si>
  <si>
    <t xml:space="preserve">Sblocca la squadra dei dirigenti: cinque direttori che guidano tutta l'azienda.</t>
  </si>
  <si>
    <t xml:space="preserve">L'azienda smette di essere solo il CEO e qualche fedelissimo. Arrivano i direttori, ognuno con la sua area.</t>
  </si>
  <si>
    <t xml:space="preserve">Academy aziendale</t>
  </si>
  <si>
    <t xml:space="preserve">Convenzioni e acquisti in blocco: benefit aziendali −30% e canone dei servizi di welfare dei magazzini −30%.</t>
  </si>
  <si>
    <t xml:space="preserve">Un portale con convenzioni e servizi per i dipendenti. Comprando in blocco si spende meno.</t>
  </si>
  <si>
    <t xml:space="preserve">Certificazione ISO 9001</t>
  </si>
  <si>
    <t xml:space="preserve">Spending review</t>
  </si>
  <si>
    <t xml:space="preserve">Budget e analisi dei costi: costi fissi −4%. Sblocca la policy «Spending review».</t>
  </si>
  <si>
    <t xml:space="preserve">Budget, centri di costo e una riunione al mese sui numeri. Si scopre dove spariscono i soldi.</t>
  </si>
  <si>
    <t xml:space="preserve">Scuola interna per tutta l'azienda: apprendimento delle tecnologie −30% e attrattività +5 in tutti i magazzini (chi cerca lavoro vede che si può crescere).</t>
  </si>
  <si>
    <t xml:space="preserve">Una scuola interna con aule e formatori. Chi ha esperienza insegna ai nuovi.</t>
  </si>
  <si>
    <t xml:space="preserve">Accuratezza +0,5 ovunque, reputazione +5, punteggio nelle gare +3.</t>
  </si>
  <si>
    <t xml:space="preserve">Procedure scritte, controlli e un ente esterno che verifica. I clienti si fidano di più.</t>
  </si>
  <si>
    <t xml:space="preserve">Mercato</t>
  </si>
  <si>
    <t xml:space="preserve">Ufficio commerciale</t>
  </si>
  <si>
    <t xml:space="preserve">EDI con i clienti, Marketing e fiere</t>
  </si>
  <si>
    <t xml:space="preserve">Più gare: ne arrivano un terzo in più.</t>
  </si>
  <si>
    <t xml:space="preserve">Venditori che cercano nuovi clienti e seguono le gare. Non si aspetta più che squilli il telefono.</t>
  </si>
  <si>
    <t xml:space="preserve">Catena del freddo</t>
  </si>
  <si>
    <t xml:space="preserve">Certificazione per freschi e farmaci: sblocca le gare che la richiedono.</t>
  </si>
  <si>
    <t xml:space="preserve">Celle refrigerate, sonde e registri delle temperature. Servono per latticini, surgelati e farmaci.</t>
  </si>
  <si>
    <t xml:space="preserve">EDI con i clienti</t>
  </si>
  <si>
    <t xml:space="preserve">Key account management, Portale clienti</t>
  </si>
  <si>
    <t xml:space="preserve">Ordini automatici: soddisfazione +1 al mese sopra soglia. Richiesto dalla grande distribuzione.</t>
  </si>
  <si>
    <t xml:space="preserve">I sistemi dell'azienda e quelli del cliente si parlano da soli. Ordini e bolle viaggiano senza fax.</t>
  </si>
  <si>
    <t xml:space="preserve">Marketing e fiere</t>
  </si>
  <si>
    <t xml:space="preserve">Logistica e-commerce</t>
  </si>
  <si>
    <t xml:space="preserve">Stand alle fiere di settore: reputazione +5 subito e +0,2 al mese.</t>
  </si>
  <si>
    <t xml:space="preserve">Stand alle fiere, brochure e qualche cena con i buyer. Il nome dell'azienda inizia a girare.</t>
  </si>
  <si>
    <t xml:space="preserve">Key account management</t>
  </si>
  <si>
    <t xml:space="preserve">Logistica e-commerce, Accordi quadro nazionali</t>
  </si>
  <si>
    <t xml:space="preserve">Il cliente ha sempre ragione</t>
  </si>
  <si>
    <t xml:space="preserve">Un referente per ogni grande cliente: soddisfazione +1 al mese per i clienti sopra soglia, rinnovo da 40 invece di 50. Sblocca la policy «Il cliente ha sempre ragione».</t>
  </si>
  <si>
    <t xml:space="preserve">Ogni grande cliente ha una persona di riferimento. Se c'è un problema, sa subito a chi telefonare.</t>
  </si>
  <si>
    <t xml:space="preserve">Portale clienti</t>
  </si>
  <si>
    <t xml:space="preserve">Rispondiamo entro 2 ore</t>
  </si>
  <si>
    <t xml:space="preserve">Un sito dove i clienti seguono da soli pallet, bolle e consegne: qualità del servizio +10. Sblocca la policy «Rispondiamo entro 2 ore».</t>
  </si>
  <si>
    <t xml:space="preserve">I clienti vedono da soli dove sono i loro pallet, scaricano le bolle e aprono le segnalazioni. Meno telefonate alle 23, più tempo per quelle che contano.</t>
  </si>
  <si>
    <t xml:space="preserve">Key account management, Marketing e fiere</t>
  </si>
  <si>
    <t xml:space="preserve">Sblocca le gare dei negozi online: tanti ordini, volumi alti, KPI esigenti.</t>
  </si>
  <si>
    <t xml:space="preserve">Tanti pacchi piccoli, resi e consegne a casa. Un mestiere diverso dal classico pallet.</t>
  </si>
  <si>
    <t xml:space="preserve">Accordi quadro nazionali</t>
  </si>
  <si>
    <t xml:space="preserve">Contratti nazionali con i grandi gruppi: sblocca le gare delle committenti S e A (servono anche 3 magazzini e reputazione 65).</t>
  </si>
  <si>
    <t xml:space="preserve">Contratti firmati con le sedi centrali dei grandi gruppi. Si gioca nel campionato nazionale.</t>
  </si>
  <si>
    <t xml:space="preserve">Welfare</t>
  </si>
  <si>
    <t xml:space="preserve">Boccioni d'acqua</t>
  </si>
  <si>
    <t xml:space="preserve">Servizio frutta</t>
  </si>
  <si>
    <t xml:space="preserve">Morale +1 e il magazzino attira un po' di più chi cerca lavoro.</t>
  </si>
  <si>
    <t xml:space="preserve">Erogatori di acqua fresca in reparto e in banchina. D'estate, sotto il tetto del capannone, fanno la differenza.</t>
  </si>
  <si>
    <t xml:space="preserve">Macchinette del caffè</t>
  </si>
  <si>
    <t xml:space="preserve">Sala pausa arredata</t>
  </si>
  <si>
    <t xml:space="preserve">Morale +1, attrattività +1.</t>
  </si>
  <si>
    <t xml:space="preserve">Caffè e snack a prezzo politico vicino alle baie. Il vero carburante del turno di notte.</t>
  </si>
  <si>
    <t xml:space="preserve">Pulmini per i dipendenti</t>
  </si>
  <si>
    <t xml:space="preserve">Lavoro agile, Colonnine di ricarica, Asilo aziendale</t>
  </si>
  <si>
    <t xml:space="preserve">Morale +2, attrattività +5, puntualità +0,5.</t>
  </si>
  <si>
    <t xml:space="preserve">Navette che passano dai paesi vicini e dalla stazione a ogni cambio turno. Chi non ha l'auto arriva lo stesso, e in orario.</t>
  </si>
  <si>
    <t xml:space="preserve">Spogliatoi e docce</t>
  </si>
  <si>
    <t xml:space="preserve">Lavanderia delle divise</t>
  </si>
  <si>
    <t xml:space="preserve">Morale +2, attrattività +2.</t>
  </si>
  <si>
    <t xml:space="preserve">Armadietti, docce calde e panche. A fine turno si torna a casa puliti.</t>
  </si>
  <si>
    <t xml:space="preserve">Presidio medico</t>
  </si>
  <si>
    <t xml:space="preserve">Sportello d'ascolto</t>
  </si>
  <si>
    <t xml:space="preserve">Morale +2, attrattività +3, accuratezza +0,2.</t>
  </si>
  <si>
    <t xml:space="preserve">Un'infermeria con un infermiere qualche ora al giorno. Visite rapide e meno giorni di malattia.</t>
  </si>
  <si>
    <t xml:space="preserve">Raffrescatori in reparto</t>
  </si>
  <si>
    <t xml:space="preserve">Morale +3, attrattività +2, produttività +2%.</t>
  </si>
  <si>
    <t xml:space="preserve">Grandi ventilatori ad acqua sopra le corsie. A luglio sotto il tetto di lamiera fa la differenza.</t>
  </si>
  <si>
    <t xml:space="preserve">Mensa aziendale</t>
  </si>
  <si>
    <t xml:space="preserve">Una cassetta di frutta fresca ogni mattina in sala pausa. Mele, banane e qualche mandarino molto conteso.</t>
  </si>
  <si>
    <t xml:space="preserve">Divanetti, tavoli e un microonde che funziona. Dieci minuti seduti davvero, lontano dai muletti.</t>
  </si>
  <si>
    <t xml:space="preserve">Lavoro agile</t>
  </si>
  <si>
    <t xml:space="preserve">Smart working in sede</t>
  </si>
  <si>
    <t xml:space="preserve">Sblocca la policy Smart working in sede.</t>
  </si>
  <si>
    <t xml:space="preserve">Portatili, VPN e un regolamento per lavorare da casa. Serve a chi in magazzino non deve toccare i pallet.</t>
  </si>
  <si>
    <t xml:space="preserve">Palestra aziendale</t>
  </si>
  <si>
    <t xml:space="preserve">Morale +1, attrattività +1, accuratezza +0,2.</t>
  </si>
  <si>
    <t xml:space="preserve">Le divise si lasciano sporche e si ritrovano pulite e stirate. Si lavora in ordine e si riconosce chi è di turno.</t>
  </si>
  <si>
    <t xml:space="preserve">Settimana corta</t>
  </si>
  <si>
    <t xml:space="preserve">Morale +3, attrattività +2.</t>
  </si>
  <si>
    <t xml:space="preserve">Uno psicologo a disposizione una mattina a settimana. Si parla di stress, turni e problemi di casa.</t>
  </si>
  <si>
    <t xml:space="preserve">Area cani</t>
  </si>
  <si>
    <t xml:space="preserve">Morale +2, attrattività +3.</t>
  </si>
  <si>
    <t xml:space="preserve">Un recinto all'ombra dove il cane aspetta la fine del turno, con ciotole e un po' di prato. Il buonumore è contagioso.</t>
  </si>
  <si>
    <t xml:space="preserve">Orto aziendale, Asilo aziendale</t>
  </si>
  <si>
    <t xml:space="preserve">Morale +4, attrattività +4, produttività +3%.</t>
  </si>
  <si>
    <t xml:space="preserve">Un pasto caldo a metà turno, cucinato sul posto. Si mangia insieme e si torna in reparto con più energia.</t>
  </si>
  <si>
    <t xml:space="preserve">Colonnine di ricarica</t>
  </si>
  <si>
    <t xml:space="preserve">Morale +1, attrattività +3.</t>
  </si>
  <si>
    <t xml:space="preserve">Prese per auto e scooter elettrici nel parcheggio dei dipendenti. Si ricarica mentre si lavora.</t>
  </si>
  <si>
    <t xml:space="preserve">Morale +3, attrattività +4.</t>
  </si>
  <si>
    <t xml:space="preserve">Pesi, tapis roulant e un corso di ginnastica per la schiena. Chi solleva colli tutto il giorno ringrazia.</t>
  </si>
  <si>
    <t xml:space="preserve">Corsi di italiano</t>
  </si>
  <si>
    <t xml:space="preserve">Morale +2, attrattività +3, accuratezza +0,3.</t>
  </si>
  <si>
    <t xml:space="preserve">Lezioni in sala pausa per chi arriva da lontano. Si capiscono meglio le istruzioni e le etichette.</t>
  </si>
  <si>
    <t xml:space="preserve">Sblocca la policy Settimana corta.</t>
  </si>
  <si>
    <t xml:space="preserve">Uno studio con lo psicologo e i sindacati su come lavorare quattro giorni senza perdere i clienti. Il risultato è una policy da accendere quando sei pronto.</t>
  </si>
  <si>
    <t xml:space="preserve">Orto aziendale</t>
  </si>
  <si>
    <t xml:space="preserve">Morale +2, attrattività +1.</t>
  </si>
  <si>
    <t xml:space="preserve">Qualche aiuola dietro al capannone, curata a turno da chi ha il pollice verde. Le zucchine finiscono in mensa.</t>
  </si>
  <si>
    <t xml:space="preserve">Asilo aziendale</t>
  </si>
  <si>
    <t xml:space="preserve">Mensa aziendale, Pulmini per i dipendenti</t>
  </si>
  <si>
    <t xml:space="preserve">Morale +5, attrattività +8.</t>
  </si>
  <si>
    <t xml:space="preserve">Un asilo nido accanto al magazzino, con orari pensati per i turni. Per molti genitori è il motivo per restare.</t>
  </si>
  <si>
    <t xml:space="preserve">Tecnologie</t>
  </si>
  <si>
    <t xml:space="preserve">Costo totale ricerca (€)</t>
  </si>
  <si>
    <t xml:space="preserve">Settimane totali di ricerca</t>
  </si>
  <si>
    <t xml:space="preserve">Installazione totale per magazzino (€)</t>
  </si>
  <si>
    <t xml:space="preserve">Canone mensile totale per magazzino (€)</t>
  </si>
  <si>
    <t xml:space="preserve">Totale</t>
  </si>
  <si>
    <t xml:space="preserve">Note</t>
  </si>
  <si>
    <t xml:space="preserve">Dati presi da src/game.html (elenco TECH), versione attuale del gioco.</t>
  </si>
  <si>
    <t xml:space="preserve">Le settimane di ricerca sono quelle di base: nel gioco si accorciano con l'Innovazione.</t>
  </si>
  <si>
    <t xml:space="preserve">Installazione, canone e apprendimento valgono solo per Logistica e Welfare, che vanno installate in ogni magazzino.</t>
  </si>
  <si>
    <t xml:space="preserve">Col la tecnologia «Piattaforma welfare» il canone dei servizi Welfare scende del 30% (qui è indicato il canone pieno).</t>
  </si>
  <si>
    <t xml:space="preserve">Puntualità, Accuratezza, Saturazione, Morale e Attrattività sono punti; Produttività è in percentuale.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</si>
</sst>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+0.0;\-0.0"/>
    <numFmt numFmtId="167" formatCode="\+0%;\-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6202E"/>
        <bgColor rgb="FF003300"/>
      </patternFill>
    </fill>
    <fill>
      <patternFill patternType="solid">
        <fgColor rgb="FFF28C28"/>
        <bgColor rgb="FFFF8080"/>
      </patternFill>
    </fill>
    <fill>
      <patternFill patternType="solid">
        <fgColor rgb="FF8E5CC2"/>
        <bgColor rgb="FF808080"/>
      </patternFill>
    </fill>
    <fill>
      <patternFill patternType="solid">
        <fgColor rgb="FF4CAF50"/>
        <bgColor rgb="FF33CCCC"/>
      </patternFill>
    </fill>
    <fill>
      <patternFill patternType="solid">
        <fgColor rgb="FFD9443A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6202E"/>
          <bgColor rgb="FF000000"/>
        </patternFill>
      </fill>
    </dxf>
    <dxf>
      <fill>
        <patternFill patternType="solid">
          <fgColor rgb="FF4CAF50"/>
          <bgColor rgb="FF000000"/>
        </patternFill>
      </fill>
    </dxf>
    <dxf>
      <fill>
        <patternFill patternType="solid">
          <fgColor rgb="FF8E5CC2"/>
          <bgColor rgb="FF000000"/>
        </patternFill>
      </fill>
    </dxf>
    <dxf>
      <fill>
        <patternFill patternType="solid">
          <fgColor rgb="FFD9443A"/>
          <bgColor rgb="FF000000"/>
        </patternFill>
      </fill>
    </dxf>
    <dxf>
      <fill>
        <patternFill patternType="solid">
          <fgColor rgb="FFF28C2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E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28C28"/>
      <rgbColor rgb="FFD9443A"/>
      <rgbColor rgb="FF8E5CC2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1620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5" min="3" style="0" width="26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5" min="12" style="0" width="11"/>
    <col collapsed="false" customWidth="true" hidden="false" outlineLevel="0" max="16" min="16" style="0" width="9"/>
    <col collapsed="false" customWidth="true" hidden="false" outlineLevel="0" max="17" min="17" style="0" width="11"/>
    <col collapsed="false" customWidth="true" hidden="false" outlineLevel="0" max="18" min="18" style="0" width="26"/>
    <col collapsed="false" customWidth="true" hidden="false" outlineLevel="0" max="19" min="19" style="0" width="50"/>
    <col collapsed="false" customWidth="true" hidden="false" outlineLevel="0" max="20" min="20" style="0" width="60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23.85" hidden="false" customHeight="false" outlineLevel="0" collapsed="false">
      <c r="A2" s="2" t="s">
        <v>20</v>
      </c>
      <c r="B2" s="3" t="n">
        <v>1</v>
      </c>
      <c r="C2" s="4" t="s">
        <v>21</v>
      </c>
      <c r="D2" s="5" t="s">
        <v>22</v>
      </c>
      <c r="E2" s="5" t="s">
        <v>23</v>
      </c>
      <c r="F2" s="5" t="s">
        <v>24</v>
      </c>
      <c r="G2" s="6" t="n">
        <v>6000</v>
      </c>
      <c r="H2" s="3" t="n">
        <v>3</v>
      </c>
      <c r="I2" s="6" t="n">
        <v>12000</v>
      </c>
      <c r="J2" s="6" t="n">
        <v>150</v>
      </c>
      <c r="K2" s="3" t="n">
        <v>2</v>
      </c>
      <c r="L2" s="7"/>
      <c r="M2" s="7" t="n">
        <v>1.5</v>
      </c>
      <c r="N2" s="8"/>
      <c r="O2" s="7"/>
      <c r="P2" s="7"/>
      <c r="Q2" s="7"/>
      <c r="R2" s="5"/>
      <c r="S2" s="5" t="s">
        <v>25</v>
      </c>
      <c r="T2" s="5" t="s">
        <v>26</v>
      </c>
    </row>
    <row r="3" customFormat="false" ht="23.85" hidden="false" customHeight="false" outlineLevel="0" collapsed="false">
      <c r="A3" s="2" t="s">
        <v>20</v>
      </c>
      <c r="B3" s="3" t="n">
        <v>1</v>
      </c>
      <c r="C3" s="4" t="s">
        <v>27</v>
      </c>
      <c r="D3" s="5" t="s">
        <v>22</v>
      </c>
      <c r="E3" s="5" t="s">
        <v>28</v>
      </c>
      <c r="F3" s="5" t="s">
        <v>29</v>
      </c>
      <c r="G3" s="6" t="n">
        <v>3000</v>
      </c>
      <c r="H3" s="3" t="n">
        <v>3</v>
      </c>
      <c r="I3" s="6" t="n">
        <v>4000</v>
      </c>
      <c r="J3" s="6" t="n">
        <v>250</v>
      </c>
      <c r="K3" s="3" t="n">
        <v>1</v>
      </c>
      <c r="L3" s="7"/>
      <c r="M3" s="7" t="n">
        <v>1</v>
      </c>
      <c r="N3" s="8" t="n">
        <v>0.03</v>
      </c>
      <c r="O3" s="7"/>
      <c r="P3" s="7"/>
      <c r="Q3" s="7"/>
      <c r="R3" s="5"/>
      <c r="S3" s="5" t="s">
        <v>30</v>
      </c>
      <c r="T3" s="5" t="s">
        <v>31</v>
      </c>
    </row>
    <row r="4" customFormat="false" ht="23.85" hidden="false" customHeight="false" outlineLevel="0" collapsed="false">
      <c r="A4" s="2" t="s">
        <v>20</v>
      </c>
      <c r="B4" s="3" t="n">
        <v>1</v>
      </c>
      <c r="C4" s="4" t="s">
        <v>32</v>
      </c>
      <c r="D4" s="5" t="s">
        <v>22</v>
      </c>
      <c r="E4" s="5" t="s">
        <v>33</v>
      </c>
      <c r="F4" s="5" t="s">
        <v>34</v>
      </c>
      <c r="G4" s="6" t="n">
        <v>15000</v>
      </c>
      <c r="H4" s="3" t="n">
        <v>4</v>
      </c>
      <c r="I4" s="6" t="n">
        <v>10000</v>
      </c>
      <c r="J4" s="6" t="n">
        <v>500</v>
      </c>
      <c r="K4" s="3" t="n">
        <v>3</v>
      </c>
      <c r="L4" s="7" t="n">
        <v>2</v>
      </c>
      <c r="M4" s="7"/>
      <c r="N4" s="8"/>
      <c r="O4" s="7" t="n">
        <v>2</v>
      </c>
      <c r="P4" s="7"/>
      <c r="Q4" s="7"/>
      <c r="R4" s="5"/>
      <c r="S4" s="5" t="s">
        <v>35</v>
      </c>
      <c r="T4" s="5" t="s">
        <v>36</v>
      </c>
    </row>
    <row r="5" customFormat="false" ht="23.85" hidden="false" customHeight="false" outlineLevel="0" collapsed="false">
      <c r="A5" s="2" t="s">
        <v>20</v>
      </c>
      <c r="B5" s="3" t="n">
        <v>2</v>
      </c>
      <c r="C5" s="4" t="s">
        <v>23</v>
      </c>
      <c r="D5" s="5" t="s">
        <v>21</v>
      </c>
      <c r="E5" s="5" t="s">
        <v>37</v>
      </c>
      <c r="F5" s="5" t="s">
        <v>22</v>
      </c>
      <c r="G5" s="6" t="n">
        <v>40000</v>
      </c>
      <c r="H5" s="3" t="n">
        <v>11</v>
      </c>
      <c r="I5" s="6" t="n">
        <v>25000</v>
      </c>
      <c r="J5" s="6" t="n">
        <v>800</v>
      </c>
      <c r="K5" s="3" t="n">
        <v>6</v>
      </c>
      <c r="L5" s="7" t="n">
        <v>0.5</v>
      </c>
      <c r="M5" s="7" t="n">
        <v>1.5</v>
      </c>
      <c r="N5" s="8"/>
      <c r="O5" s="7"/>
      <c r="P5" s="7"/>
      <c r="Q5" s="7"/>
      <c r="R5" s="5"/>
      <c r="S5" s="5" t="s">
        <v>38</v>
      </c>
      <c r="T5" s="5" t="s">
        <v>39</v>
      </c>
    </row>
    <row r="6" customFormat="false" ht="23.85" hidden="false" customHeight="false" outlineLevel="0" collapsed="false">
      <c r="A6" s="2" t="s">
        <v>20</v>
      </c>
      <c r="B6" s="3" t="n">
        <v>2</v>
      </c>
      <c r="C6" s="4" t="s">
        <v>28</v>
      </c>
      <c r="D6" s="5" t="s">
        <v>27</v>
      </c>
      <c r="E6" s="5" t="s">
        <v>40</v>
      </c>
      <c r="F6" s="5" t="s">
        <v>41</v>
      </c>
      <c r="G6" s="6" t="n">
        <v>12000</v>
      </c>
      <c r="H6" s="3" t="n">
        <v>4</v>
      </c>
      <c r="I6" s="6" t="n">
        <v>20000</v>
      </c>
      <c r="J6" s="6" t="n">
        <v>150</v>
      </c>
      <c r="K6" s="3" t="n">
        <v>2</v>
      </c>
      <c r="L6" s="7"/>
      <c r="M6" s="7" t="n">
        <v>0.5</v>
      </c>
      <c r="N6" s="8"/>
      <c r="O6" s="7"/>
      <c r="P6" s="7" t="n">
        <v>2</v>
      </c>
      <c r="Q6" s="7"/>
      <c r="R6" s="5"/>
      <c r="S6" s="5" t="s">
        <v>42</v>
      </c>
      <c r="T6" s="5" t="s">
        <v>43</v>
      </c>
    </row>
    <row r="7" customFormat="false" ht="23.85" hidden="false" customHeight="false" outlineLevel="0" collapsed="false">
      <c r="A7" s="2" t="s">
        <v>20</v>
      </c>
      <c r="B7" s="3" t="n">
        <v>2</v>
      </c>
      <c r="C7" s="4" t="s">
        <v>33</v>
      </c>
      <c r="D7" s="5" t="s">
        <v>32</v>
      </c>
      <c r="E7" s="5" t="s">
        <v>44</v>
      </c>
      <c r="F7" s="5" t="s">
        <v>22</v>
      </c>
      <c r="G7" s="6" t="n">
        <v>35000</v>
      </c>
      <c r="H7" s="3" t="n">
        <v>7</v>
      </c>
      <c r="I7" s="6" t="n">
        <v>15000</v>
      </c>
      <c r="J7" s="6" t="n">
        <v>600</v>
      </c>
      <c r="K7" s="3" t="n">
        <v>4</v>
      </c>
      <c r="L7" s="7" t="n">
        <v>2</v>
      </c>
      <c r="M7" s="7"/>
      <c r="N7" s="8"/>
      <c r="O7" s="7" t="n">
        <v>5</v>
      </c>
      <c r="P7" s="7"/>
      <c r="Q7" s="7"/>
      <c r="R7" s="5" t="s">
        <v>45</v>
      </c>
      <c r="S7" s="5" t="s">
        <v>46</v>
      </c>
      <c r="T7" s="5" t="s">
        <v>47</v>
      </c>
    </row>
    <row r="8" customFormat="false" ht="23.85" hidden="false" customHeight="false" outlineLevel="0" collapsed="false">
      <c r="A8" s="2" t="s">
        <v>20</v>
      </c>
      <c r="B8" s="3" t="n">
        <v>3</v>
      </c>
      <c r="C8" s="4" t="s">
        <v>48</v>
      </c>
      <c r="D8" s="5" t="s">
        <v>23</v>
      </c>
      <c r="E8" s="5" t="s">
        <v>49</v>
      </c>
      <c r="F8" s="5" t="s">
        <v>22</v>
      </c>
      <c r="G8" s="6" t="n">
        <v>25000</v>
      </c>
      <c r="H8" s="3" t="n">
        <v>6</v>
      </c>
      <c r="I8" s="6" t="n">
        <v>30000</v>
      </c>
      <c r="J8" s="6" t="n">
        <v>400</v>
      </c>
      <c r="K8" s="3" t="n">
        <v>4</v>
      </c>
      <c r="L8" s="7" t="n">
        <v>0.5</v>
      </c>
      <c r="M8" s="7" t="n">
        <v>1</v>
      </c>
      <c r="N8" s="8" t="n">
        <v>0.1</v>
      </c>
      <c r="O8" s="7"/>
      <c r="P8" s="7"/>
      <c r="Q8" s="7"/>
      <c r="R8" s="5"/>
      <c r="S8" s="5" t="s">
        <v>50</v>
      </c>
      <c r="T8" s="5" t="s">
        <v>51</v>
      </c>
    </row>
    <row r="9" customFormat="false" ht="23.85" hidden="false" customHeight="false" outlineLevel="0" collapsed="false">
      <c r="A9" s="2" t="s">
        <v>20</v>
      </c>
      <c r="B9" s="3" t="n">
        <v>3</v>
      </c>
      <c r="C9" s="4" t="s">
        <v>40</v>
      </c>
      <c r="D9" s="5" t="s">
        <v>52</v>
      </c>
      <c r="E9" s="5" t="s">
        <v>53</v>
      </c>
      <c r="F9" s="5" t="s">
        <v>22</v>
      </c>
      <c r="G9" s="6" t="n">
        <v>80000</v>
      </c>
      <c r="H9" s="3" t="n">
        <v>17</v>
      </c>
      <c r="I9" s="6" t="n">
        <v>250000</v>
      </c>
      <c r="J9" s="6" t="n">
        <v>2000</v>
      </c>
      <c r="K9" s="3" t="n">
        <v>10</v>
      </c>
      <c r="L9" s="7"/>
      <c r="M9" s="7" t="n">
        <v>0.5</v>
      </c>
      <c r="N9" s="8"/>
      <c r="O9" s="7"/>
      <c r="P9" s="7"/>
      <c r="Q9" s="7"/>
      <c r="R9" s="5" t="s">
        <v>54</v>
      </c>
      <c r="S9" s="5" t="s">
        <v>55</v>
      </c>
      <c r="T9" s="5" t="s">
        <v>56</v>
      </c>
    </row>
    <row r="10" customFormat="false" ht="35.05" hidden="false" customHeight="false" outlineLevel="0" collapsed="false">
      <c r="A10" s="2" t="s">
        <v>20</v>
      </c>
      <c r="B10" s="3" t="n">
        <v>3</v>
      </c>
      <c r="C10" s="4" t="s">
        <v>44</v>
      </c>
      <c r="D10" s="5" t="s">
        <v>33</v>
      </c>
      <c r="E10" s="5" t="s">
        <v>22</v>
      </c>
      <c r="F10" s="5" t="s">
        <v>22</v>
      </c>
      <c r="G10" s="6" t="n">
        <v>45000</v>
      </c>
      <c r="H10" s="3" t="n">
        <v>9</v>
      </c>
      <c r="I10" s="6" t="n">
        <v>15000</v>
      </c>
      <c r="J10" s="6" t="n">
        <v>500</v>
      </c>
      <c r="K10" s="3" t="n">
        <v>6</v>
      </c>
      <c r="L10" s="7"/>
      <c r="M10" s="7"/>
      <c r="N10" s="8"/>
      <c r="O10" s="7"/>
      <c r="P10" s="7"/>
      <c r="Q10" s="7"/>
      <c r="R10" s="5" t="s">
        <v>57</v>
      </c>
      <c r="S10" s="5" t="s">
        <v>58</v>
      </c>
      <c r="T10" s="5" t="s">
        <v>59</v>
      </c>
    </row>
    <row r="11" customFormat="false" ht="23.85" hidden="false" customHeight="false" outlineLevel="0" collapsed="false">
      <c r="A11" s="2" t="s">
        <v>20</v>
      </c>
      <c r="B11" s="3" t="n">
        <v>4</v>
      </c>
      <c r="C11" s="4" t="s">
        <v>49</v>
      </c>
      <c r="D11" s="5" t="s">
        <v>48</v>
      </c>
      <c r="E11" s="5" t="s">
        <v>53</v>
      </c>
      <c r="F11" s="5" t="s">
        <v>22</v>
      </c>
      <c r="G11" s="6" t="n">
        <v>40000</v>
      </c>
      <c r="H11" s="3" t="n">
        <v>9</v>
      </c>
      <c r="I11" s="6" t="n">
        <v>80000</v>
      </c>
      <c r="J11" s="6" t="n">
        <v>600</v>
      </c>
      <c r="K11" s="3" t="n">
        <v>4</v>
      </c>
      <c r="L11" s="7" t="n">
        <v>0.5</v>
      </c>
      <c r="M11" s="7" t="n">
        <v>2</v>
      </c>
      <c r="N11" s="8" t="n">
        <v>0.15</v>
      </c>
      <c r="O11" s="7"/>
      <c r="P11" s="7"/>
      <c r="Q11" s="7"/>
      <c r="R11" s="5"/>
      <c r="S11" s="5" t="s">
        <v>60</v>
      </c>
      <c r="T11" s="5" t="s">
        <v>61</v>
      </c>
    </row>
    <row r="12" customFormat="false" ht="23.85" hidden="false" customHeight="false" outlineLevel="0" collapsed="false">
      <c r="A12" s="2" t="s">
        <v>20</v>
      </c>
      <c r="B12" s="3" t="n">
        <v>5</v>
      </c>
      <c r="C12" s="4" t="s">
        <v>53</v>
      </c>
      <c r="D12" s="5" t="s">
        <v>62</v>
      </c>
      <c r="E12" s="5" t="s">
        <v>22</v>
      </c>
      <c r="F12" s="5" t="s">
        <v>22</v>
      </c>
      <c r="G12" s="6" t="n">
        <v>150000</v>
      </c>
      <c r="H12" s="3" t="n">
        <v>21</v>
      </c>
      <c r="I12" s="6" t="n">
        <v>300000</v>
      </c>
      <c r="J12" s="6" t="n">
        <v>3000</v>
      </c>
      <c r="K12" s="3" t="n">
        <v>12</v>
      </c>
      <c r="L12" s="7" t="n">
        <v>1</v>
      </c>
      <c r="M12" s="7" t="n">
        <v>1</v>
      </c>
      <c r="N12" s="8" t="n">
        <v>0.4</v>
      </c>
      <c r="O12" s="7"/>
      <c r="P12" s="7"/>
      <c r="Q12" s="7"/>
      <c r="R12" s="5"/>
      <c r="S12" s="5" t="s">
        <v>63</v>
      </c>
      <c r="T12" s="5" t="s">
        <v>64</v>
      </c>
    </row>
    <row r="13" customFormat="false" ht="23.85" hidden="false" customHeight="false" outlineLevel="0" collapsed="false">
      <c r="A13" s="9" t="s">
        <v>65</v>
      </c>
      <c r="B13" s="3" t="n">
        <v>1</v>
      </c>
      <c r="C13" s="4" t="s">
        <v>66</v>
      </c>
      <c r="D13" s="5" t="s">
        <v>22</v>
      </c>
      <c r="E13" s="5" t="s">
        <v>67</v>
      </c>
      <c r="F13" s="5" t="s">
        <v>22</v>
      </c>
      <c r="G13" s="6" t="n">
        <v>15000</v>
      </c>
      <c r="H13" s="3" t="n">
        <v>4</v>
      </c>
      <c r="I13" s="6"/>
      <c r="J13" s="6"/>
      <c r="K13" s="3"/>
      <c r="L13" s="7"/>
      <c r="M13" s="7"/>
      <c r="N13" s="8"/>
      <c r="O13" s="7"/>
      <c r="P13" s="7"/>
      <c r="Q13" s="7"/>
      <c r="R13" s="5"/>
      <c r="S13" s="5" t="s">
        <v>68</v>
      </c>
      <c r="T13" s="5" t="s">
        <v>69</v>
      </c>
    </row>
    <row r="14" customFormat="false" ht="35.05" hidden="false" customHeight="false" outlineLevel="0" collapsed="false">
      <c r="A14" s="9" t="s">
        <v>65</v>
      </c>
      <c r="B14" s="3" t="n">
        <v>1</v>
      </c>
      <c r="C14" s="4" t="s">
        <v>70</v>
      </c>
      <c r="D14" s="5" t="s">
        <v>22</v>
      </c>
      <c r="E14" s="5" t="s">
        <v>22</v>
      </c>
      <c r="F14" s="5" t="s">
        <v>71</v>
      </c>
      <c r="G14" s="6" t="n">
        <v>8000</v>
      </c>
      <c r="H14" s="3" t="n">
        <v>3</v>
      </c>
      <c r="I14" s="6"/>
      <c r="J14" s="6"/>
      <c r="K14" s="3"/>
      <c r="L14" s="7"/>
      <c r="M14" s="7"/>
      <c r="N14" s="8"/>
      <c r="O14" s="7"/>
      <c r="P14" s="7"/>
      <c r="Q14" s="7"/>
      <c r="R14" s="5"/>
      <c r="S14" s="5" t="s">
        <v>72</v>
      </c>
      <c r="T14" s="5" t="s">
        <v>73</v>
      </c>
    </row>
    <row r="15" customFormat="false" ht="23.85" hidden="false" customHeight="false" outlineLevel="0" collapsed="false">
      <c r="A15" s="9" t="s">
        <v>65</v>
      </c>
      <c r="B15" s="3" t="n">
        <v>2</v>
      </c>
      <c r="C15" s="4" t="s">
        <v>74</v>
      </c>
      <c r="D15" s="5" t="s">
        <v>66</v>
      </c>
      <c r="E15" s="5" t="s">
        <v>75</v>
      </c>
      <c r="F15" s="5" t="s">
        <v>76</v>
      </c>
      <c r="G15" s="6" t="n">
        <v>20000</v>
      </c>
      <c r="H15" s="3" t="n">
        <v>6</v>
      </c>
      <c r="I15" s="6"/>
      <c r="J15" s="6"/>
      <c r="K15" s="3"/>
      <c r="L15" s="7"/>
      <c r="M15" s="7"/>
      <c r="N15" s="8"/>
      <c r="O15" s="7"/>
      <c r="P15" s="7"/>
      <c r="Q15" s="7"/>
      <c r="R15" s="5"/>
      <c r="S15" s="5" t="s">
        <v>77</v>
      </c>
      <c r="T15" s="5" t="s">
        <v>78</v>
      </c>
    </row>
    <row r="16" customFormat="false" ht="23.85" hidden="false" customHeight="false" outlineLevel="0" collapsed="false">
      <c r="A16" s="9" t="s">
        <v>65</v>
      </c>
      <c r="B16" s="3" t="n">
        <v>2</v>
      </c>
      <c r="C16" s="4" t="s">
        <v>79</v>
      </c>
      <c r="D16" s="5" t="s">
        <v>66</v>
      </c>
      <c r="E16" s="5" t="s">
        <v>80</v>
      </c>
      <c r="F16" s="5" t="s">
        <v>22</v>
      </c>
      <c r="G16" s="6" t="n">
        <v>50000</v>
      </c>
      <c r="H16" s="3" t="n">
        <v>13</v>
      </c>
      <c r="I16" s="6"/>
      <c r="J16" s="6"/>
      <c r="K16" s="3"/>
      <c r="L16" s="7"/>
      <c r="M16" s="7"/>
      <c r="N16" s="8"/>
      <c r="O16" s="7"/>
      <c r="P16" s="7"/>
      <c r="Q16" s="7"/>
      <c r="R16" s="5"/>
      <c r="S16" s="5" t="s">
        <v>81</v>
      </c>
      <c r="T16" s="5" t="s">
        <v>82</v>
      </c>
    </row>
    <row r="17" customFormat="false" ht="23.85" hidden="false" customHeight="false" outlineLevel="0" collapsed="false">
      <c r="A17" s="9" t="s">
        <v>65</v>
      </c>
      <c r="B17" s="3" t="n">
        <v>3</v>
      </c>
      <c r="C17" s="4" t="s">
        <v>75</v>
      </c>
      <c r="D17" s="5" t="s">
        <v>74</v>
      </c>
      <c r="E17" s="5" t="s">
        <v>83</v>
      </c>
      <c r="F17" s="5" t="s">
        <v>22</v>
      </c>
      <c r="G17" s="6" t="n">
        <v>25000</v>
      </c>
      <c r="H17" s="3" t="n">
        <v>6</v>
      </c>
      <c r="I17" s="6"/>
      <c r="J17" s="6"/>
      <c r="K17" s="3"/>
      <c r="L17" s="7"/>
      <c r="M17" s="7"/>
      <c r="N17" s="8"/>
      <c r="O17" s="7"/>
      <c r="P17" s="7"/>
      <c r="Q17" s="7"/>
      <c r="R17" s="5"/>
      <c r="S17" s="5" t="s">
        <v>84</v>
      </c>
      <c r="T17" s="5" t="s">
        <v>85</v>
      </c>
    </row>
    <row r="18" customFormat="false" ht="23.85" hidden="false" customHeight="false" outlineLevel="0" collapsed="false">
      <c r="A18" s="9" t="s">
        <v>65</v>
      </c>
      <c r="B18" s="3" t="n">
        <v>3</v>
      </c>
      <c r="C18" s="4" t="s">
        <v>80</v>
      </c>
      <c r="D18" s="5" t="s">
        <v>79</v>
      </c>
      <c r="E18" s="5" t="s">
        <v>86</v>
      </c>
      <c r="F18" s="5" t="s">
        <v>87</v>
      </c>
      <c r="G18" s="6" t="n">
        <v>40000</v>
      </c>
      <c r="H18" s="3" t="n">
        <v>9</v>
      </c>
      <c r="I18" s="6"/>
      <c r="J18" s="6"/>
      <c r="K18" s="3"/>
      <c r="L18" s="7"/>
      <c r="M18" s="7"/>
      <c r="N18" s="8"/>
      <c r="O18" s="7"/>
      <c r="P18" s="7"/>
      <c r="Q18" s="7"/>
      <c r="R18" s="5"/>
      <c r="S18" s="5" t="s">
        <v>88</v>
      </c>
      <c r="T18" s="5" t="s">
        <v>89</v>
      </c>
    </row>
    <row r="19" customFormat="false" ht="35.05" hidden="false" customHeight="false" outlineLevel="0" collapsed="false">
      <c r="A19" s="9" t="s">
        <v>65</v>
      </c>
      <c r="B19" s="3" t="n">
        <v>4</v>
      </c>
      <c r="C19" s="4" t="s">
        <v>83</v>
      </c>
      <c r="D19" s="5" t="s">
        <v>75</v>
      </c>
      <c r="E19" s="5" t="s">
        <v>22</v>
      </c>
      <c r="F19" s="5" t="s">
        <v>22</v>
      </c>
      <c r="G19" s="6" t="n">
        <v>60000</v>
      </c>
      <c r="H19" s="3" t="n">
        <v>13</v>
      </c>
      <c r="I19" s="6"/>
      <c r="J19" s="6"/>
      <c r="K19" s="3"/>
      <c r="L19" s="7"/>
      <c r="M19" s="7"/>
      <c r="N19" s="8"/>
      <c r="O19" s="7"/>
      <c r="P19" s="7"/>
      <c r="Q19" s="7"/>
      <c r="R19" s="5"/>
      <c r="S19" s="5" t="s">
        <v>90</v>
      </c>
      <c r="T19" s="5" t="s">
        <v>91</v>
      </c>
    </row>
    <row r="20" customFormat="false" ht="23.85" hidden="false" customHeight="false" outlineLevel="0" collapsed="false">
      <c r="A20" s="9" t="s">
        <v>65</v>
      </c>
      <c r="B20" s="3" t="n">
        <v>4</v>
      </c>
      <c r="C20" s="4" t="s">
        <v>86</v>
      </c>
      <c r="D20" s="5" t="s">
        <v>80</v>
      </c>
      <c r="E20" s="5" t="s">
        <v>22</v>
      </c>
      <c r="F20" s="5" t="s">
        <v>22</v>
      </c>
      <c r="G20" s="6" t="n">
        <v>45000</v>
      </c>
      <c r="H20" s="3" t="n">
        <v>17</v>
      </c>
      <c r="I20" s="6"/>
      <c r="J20" s="6"/>
      <c r="K20" s="3"/>
      <c r="L20" s="7"/>
      <c r="M20" s="7"/>
      <c r="N20" s="8"/>
      <c r="O20" s="7"/>
      <c r="P20" s="7"/>
      <c r="Q20" s="7"/>
      <c r="R20" s="5"/>
      <c r="S20" s="5" t="s">
        <v>92</v>
      </c>
      <c r="T20" s="5" t="s">
        <v>93</v>
      </c>
    </row>
    <row r="21" customFormat="false" ht="23.85" hidden="false" customHeight="false" outlineLevel="0" collapsed="false">
      <c r="A21" s="10" t="s">
        <v>94</v>
      </c>
      <c r="B21" s="3" t="n">
        <v>1</v>
      </c>
      <c r="C21" s="4" t="s">
        <v>95</v>
      </c>
      <c r="D21" s="5" t="s">
        <v>22</v>
      </c>
      <c r="E21" s="5" t="s">
        <v>96</v>
      </c>
      <c r="F21" s="5" t="s">
        <v>22</v>
      </c>
      <c r="G21" s="6" t="n">
        <v>15000</v>
      </c>
      <c r="H21" s="3" t="n">
        <v>4</v>
      </c>
      <c r="I21" s="6"/>
      <c r="J21" s="6"/>
      <c r="K21" s="3"/>
      <c r="L21" s="7"/>
      <c r="M21" s="7"/>
      <c r="N21" s="8"/>
      <c r="O21" s="7"/>
      <c r="P21" s="7"/>
      <c r="Q21" s="7"/>
      <c r="R21" s="5"/>
      <c r="S21" s="5" t="s">
        <v>97</v>
      </c>
      <c r="T21" s="5" t="s">
        <v>98</v>
      </c>
    </row>
    <row r="22" customFormat="false" ht="23.85" hidden="false" customHeight="false" outlineLevel="0" collapsed="false">
      <c r="A22" s="10" t="s">
        <v>94</v>
      </c>
      <c r="B22" s="3" t="n">
        <v>1</v>
      </c>
      <c r="C22" s="4" t="s">
        <v>99</v>
      </c>
      <c r="D22" s="5" t="s">
        <v>22</v>
      </c>
      <c r="E22" s="5" t="s">
        <v>22</v>
      </c>
      <c r="F22" s="5" t="s">
        <v>22</v>
      </c>
      <c r="G22" s="6" t="n">
        <v>30000</v>
      </c>
      <c r="H22" s="3" t="n">
        <v>6</v>
      </c>
      <c r="I22" s="6"/>
      <c r="J22" s="6"/>
      <c r="K22" s="3"/>
      <c r="L22" s="7"/>
      <c r="M22" s="7"/>
      <c r="N22" s="8"/>
      <c r="O22" s="7"/>
      <c r="P22" s="7"/>
      <c r="Q22" s="7"/>
      <c r="R22" s="5"/>
      <c r="S22" s="5" t="s">
        <v>100</v>
      </c>
      <c r="T22" s="5" t="s">
        <v>101</v>
      </c>
    </row>
    <row r="23" customFormat="false" ht="23.85" hidden="false" customHeight="false" outlineLevel="0" collapsed="false">
      <c r="A23" s="10" t="s">
        <v>94</v>
      </c>
      <c r="B23" s="3" t="n">
        <v>2</v>
      </c>
      <c r="C23" s="4" t="s">
        <v>102</v>
      </c>
      <c r="D23" s="5" t="s">
        <v>95</v>
      </c>
      <c r="E23" s="5" t="s">
        <v>103</v>
      </c>
      <c r="F23" s="5" t="s">
        <v>22</v>
      </c>
      <c r="G23" s="6" t="n">
        <v>30000</v>
      </c>
      <c r="H23" s="3" t="n">
        <v>7</v>
      </c>
      <c r="I23" s="6"/>
      <c r="J23" s="6"/>
      <c r="K23" s="3"/>
      <c r="L23" s="7"/>
      <c r="M23" s="7"/>
      <c r="N23" s="8"/>
      <c r="O23" s="7"/>
      <c r="P23" s="7"/>
      <c r="Q23" s="7"/>
      <c r="R23" s="5"/>
      <c r="S23" s="5" t="s">
        <v>104</v>
      </c>
      <c r="T23" s="5" t="s">
        <v>105</v>
      </c>
    </row>
    <row r="24" customFormat="false" ht="23.85" hidden="false" customHeight="false" outlineLevel="0" collapsed="false">
      <c r="A24" s="10" t="s">
        <v>94</v>
      </c>
      <c r="B24" s="3" t="n">
        <v>2</v>
      </c>
      <c r="C24" s="4" t="s">
        <v>106</v>
      </c>
      <c r="D24" s="5" t="s">
        <v>95</v>
      </c>
      <c r="E24" s="5" t="s">
        <v>107</v>
      </c>
      <c r="F24" s="5" t="s">
        <v>22</v>
      </c>
      <c r="G24" s="6" t="n">
        <v>25000</v>
      </c>
      <c r="H24" s="3" t="n">
        <v>6</v>
      </c>
      <c r="I24" s="6"/>
      <c r="J24" s="6"/>
      <c r="K24" s="3"/>
      <c r="L24" s="7"/>
      <c r="M24" s="7"/>
      <c r="N24" s="8"/>
      <c r="O24" s="7"/>
      <c r="P24" s="7"/>
      <c r="Q24" s="7"/>
      <c r="R24" s="5"/>
      <c r="S24" s="5" t="s">
        <v>108</v>
      </c>
      <c r="T24" s="5" t="s">
        <v>109</v>
      </c>
    </row>
    <row r="25" customFormat="false" ht="35.05" hidden="false" customHeight="false" outlineLevel="0" collapsed="false">
      <c r="A25" s="10" t="s">
        <v>94</v>
      </c>
      <c r="B25" s="3" t="n">
        <v>3</v>
      </c>
      <c r="C25" s="4" t="s">
        <v>110</v>
      </c>
      <c r="D25" s="5" t="s">
        <v>102</v>
      </c>
      <c r="E25" s="5" t="s">
        <v>111</v>
      </c>
      <c r="F25" s="5" t="s">
        <v>112</v>
      </c>
      <c r="G25" s="6" t="n">
        <v>40000</v>
      </c>
      <c r="H25" s="3" t="n">
        <v>9</v>
      </c>
      <c r="I25" s="6"/>
      <c r="J25" s="6"/>
      <c r="K25" s="3"/>
      <c r="L25" s="7"/>
      <c r="M25" s="7"/>
      <c r="N25" s="8"/>
      <c r="O25" s="7"/>
      <c r="P25" s="7"/>
      <c r="Q25" s="7"/>
      <c r="R25" s="5"/>
      <c r="S25" s="5" t="s">
        <v>113</v>
      </c>
      <c r="T25" s="5" t="s">
        <v>114</v>
      </c>
    </row>
    <row r="26" customFormat="false" ht="35.05" hidden="false" customHeight="false" outlineLevel="0" collapsed="false">
      <c r="A26" s="10" t="s">
        <v>94</v>
      </c>
      <c r="B26" s="3" t="n">
        <v>3</v>
      </c>
      <c r="C26" s="4" t="s">
        <v>115</v>
      </c>
      <c r="D26" s="5" t="s">
        <v>102</v>
      </c>
      <c r="E26" s="5" t="s">
        <v>22</v>
      </c>
      <c r="F26" s="5" t="s">
        <v>116</v>
      </c>
      <c r="G26" s="6" t="n">
        <v>35000</v>
      </c>
      <c r="H26" s="3" t="n">
        <v>8</v>
      </c>
      <c r="I26" s="6"/>
      <c r="J26" s="6"/>
      <c r="K26" s="3"/>
      <c r="L26" s="7"/>
      <c r="M26" s="7"/>
      <c r="N26" s="8"/>
      <c r="O26" s="7"/>
      <c r="P26" s="7"/>
      <c r="Q26" s="7"/>
      <c r="R26" s="5"/>
      <c r="S26" s="5" t="s">
        <v>117</v>
      </c>
      <c r="T26" s="5" t="s">
        <v>118</v>
      </c>
    </row>
    <row r="27" customFormat="false" ht="23.85" hidden="false" customHeight="false" outlineLevel="0" collapsed="false">
      <c r="A27" s="10" t="s">
        <v>94</v>
      </c>
      <c r="B27" s="3" t="n">
        <v>4</v>
      </c>
      <c r="C27" s="4" t="s">
        <v>107</v>
      </c>
      <c r="D27" s="5" t="s">
        <v>119</v>
      </c>
      <c r="E27" s="5" t="s">
        <v>22</v>
      </c>
      <c r="F27" s="5" t="s">
        <v>22</v>
      </c>
      <c r="G27" s="6" t="n">
        <v>70000</v>
      </c>
      <c r="H27" s="3" t="n">
        <v>13</v>
      </c>
      <c r="I27" s="6"/>
      <c r="J27" s="6"/>
      <c r="K27" s="3"/>
      <c r="L27" s="7"/>
      <c r="M27" s="7"/>
      <c r="N27" s="8"/>
      <c r="O27" s="7"/>
      <c r="P27" s="7"/>
      <c r="Q27" s="7"/>
      <c r="R27" s="5"/>
      <c r="S27" s="5" t="s">
        <v>120</v>
      </c>
      <c r="T27" s="5" t="s">
        <v>121</v>
      </c>
    </row>
    <row r="28" customFormat="false" ht="35.05" hidden="false" customHeight="false" outlineLevel="0" collapsed="false">
      <c r="A28" s="10" t="s">
        <v>94</v>
      </c>
      <c r="B28" s="3" t="n">
        <v>4</v>
      </c>
      <c r="C28" s="4" t="s">
        <v>122</v>
      </c>
      <c r="D28" s="5" t="s">
        <v>110</v>
      </c>
      <c r="E28" s="5" t="s">
        <v>22</v>
      </c>
      <c r="F28" s="5" t="s">
        <v>22</v>
      </c>
      <c r="G28" s="6" t="n">
        <v>60000</v>
      </c>
      <c r="H28" s="3" t="n">
        <v>13</v>
      </c>
      <c r="I28" s="6"/>
      <c r="J28" s="6"/>
      <c r="K28" s="3"/>
      <c r="L28" s="7"/>
      <c r="M28" s="7"/>
      <c r="N28" s="8"/>
      <c r="O28" s="7"/>
      <c r="P28" s="7"/>
      <c r="Q28" s="7"/>
      <c r="R28" s="5"/>
      <c r="S28" s="5" t="s">
        <v>123</v>
      </c>
      <c r="T28" s="5" t="s">
        <v>124</v>
      </c>
    </row>
    <row r="29" customFormat="false" ht="23.85" hidden="false" customHeight="false" outlineLevel="0" collapsed="false">
      <c r="A29" s="11" t="s">
        <v>125</v>
      </c>
      <c r="B29" s="3" t="n">
        <v>1</v>
      </c>
      <c r="C29" s="4" t="s">
        <v>126</v>
      </c>
      <c r="D29" s="5" t="s">
        <v>22</v>
      </c>
      <c r="E29" s="5" t="s">
        <v>127</v>
      </c>
      <c r="F29" s="5" t="s">
        <v>22</v>
      </c>
      <c r="G29" s="6" t="n">
        <v>2000</v>
      </c>
      <c r="H29" s="3" t="n">
        <v>3</v>
      </c>
      <c r="I29" s="6" t="n">
        <v>600</v>
      </c>
      <c r="J29" s="6" t="n">
        <v>90</v>
      </c>
      <c r="K29" s="3" t="n">
        <v>0</v>
      </c>
      <c r="L29" s="7"/>
      <c r="M29" s="7"/>
      <c r="N29" s="8"/>
      <c r="O29" s="7"/>
      <c r="P29" s="7" t="n">
        <v>1</v>
      </c>
      <c r="Q29" s="7" t="n">
        <v>1</v>
      </c>
      <c r="R29" s="5"/>
      <c r="S29" s="5" t="s">
        <v>128</v>
      </c>
      <c r="T29" s="5" t="s">
        <v>129</v>
      </c>
    </row>
    <row r="30" customFormat="false" ht="23.85" hidden="false" customHeight="false" outlineLevel="0" collapsed="false">
      <c r="A30" s="11" t="s">
        <v>125</v>
      </c>
      <c r="B30" s="3" t="n">
        <v>1</v>
      </c>
      <c r="C30" s="4" t="s">
        <v>130</v>
      </c>
      <c r="D30" s="5" t="s">
        <v>22</v>
      </c>
      <c r="E30" s="5" t="s">
        <v>131</v>
      </c>
      <c r="F30" s="5" t="s">
        <v>22</v>
      </c>
      <c r="G30" s="6" t="n">
        <v>1500</v>
      </c>
      <c r="H30" s="3" t="n">
        <v>3</v>
      </c>
      <c r="I30" s="6" t="n">
        <v>800</v>
      </c>
      <c r="J30" s="6" t="n">
        <v>120</v>
      </c>
      <c r="K30" s="3" t="n">
        <v>0</v>
      </c>
      <c r="L30" s="7"/>
      <c r="M30" s="7"/>
      <c r="N30" s="8"/>
      <c r="O30" s="7"/>
      <c r="P30" s="7" t="n">
        <v>1</v>
      </c>
      <c r="Q30" s="7" t="n">
        <v>1</v>
      </c>
      <c r="R30" s="5"/>
      <c r="S30" s="5" t="s">
        <v>132</v>
      </c>
      <c r="T30" s="5" t="s">
        <v>133</v>
      </c>
    </row>
    <row r="31" customFormat="false" ht="23.85" hidden="false" customHeight="false" outlineLevel="0" collapsed="false">
      <c r="A31" s="11" t="s">
        <v>125</v>
      </c>
      <c r="B31" s="3" t="n">
        <v>1</v>
      </c>
      <c r="C31" s="4" t="s">
        <v>134</v>
      </c>
      <c r="D31" s="5" t="s">
        <v>22</v>
      </c>
      <c r="E31" s="5" t="s">
        <v>135</v>
      </c>
      <c r="F31" s="5" t="s">
        <v>22</v>
      </c>
      <c r="G31" s="6" t="n">
        <v>8000</v>
      </c>
      <c r="H31" s="3" t="n">
        <v>3</v>
      </c>
      <c r="I31" s="6" t="n">
        <v>35000</v>
      </c>
      <c r="J31" s="6" t="n">
        <v>1200</v>
      </c>
      <c r="K31" s="3" t="n">
        <v>0</v>
      </c>
      <c r="L31" s="7" t="n">
        <v>0.5</v>
      </c>
      <c r="M31" s="7"/>
      <c r="N31" s="8"/>
      <c r="O31" s="7"/>
      <c r="P31" s="7" t="n">
        <v>2</v>
      </c>
      <c r="Q31" s="7" t="n">
        <v>5</v>
      </c>
      <c r="R31" s="5"/>
      <c r="S31" s="5" t="s">
        <v>136</v>
      </c>
      <c r="T31" s="5" t="s">
        <v>137</v>
      </c>
    </row>
    <row r="32" customFormat="false" ht="15" hidden="false" customHeight="false" outlineLevel="0" collapsed="false">
      <c r="A32" s="11" t="s">
        <v>125</v>
      </c>
      <c r="B32" s="3" t="n">
        <v>1</v>
      </c>
      <c r="C32" s="4" t="s">
        <v>138</v>
      </c>
      <c r="D32" s="5" t="s">
        <v>22</v>
      </c>
      <c r="E32" s="5" t="s">
        <v>139</v>
      </c>
      <c r="F32" s="5" t="s">
        <v>22</v>
      </c>
      <c r="G32" s="6" t="n">
        <v>3000</v>
      </c>
      <c r="H32" s="3" t="n">
        <v>3</v>
      </c>
      <c r="I32" s="6" t="n">
        <v>20000</v>
      </c>
      <c r="J32" s="6" t="n">
        <v>200</v>
      </c>
      <c r="K32" s="3" t="n">
        <v>0</v>
      </c>
      <c r="L32" s="7"/>
      <c r="M32" s="7"/>
      <c r="N32" s="8"/>
      <c r="O32" s="7"/>
      <c r="P32" s="7" t="n">
        <v>2</v>
      </c>
      <c r="Q32" s="7" t="n">
        <v>2</v>
      </c>
      <c r="R32" s="5"/>
      <c r="S32" s="5" t="s">
        <v>140</v>
      </c>
      <c r="T32" s="5" t="s">
        <v>141</v>
      </c>
    </row>
    <row r="33" customFormat="false" ht="23.85" hidden="false" customHeight="false" outlineLevel="0" collapsed="false">
      <c r="A33" s="11" t="s">
        <v>125</v>
      </c>
      <c r="B33" s="3" t="n">
        <v>1</v>
      </c>
      <c r="C33" s="4" t="s">
        <v>142</v>
      </c>
      <c r="D33" s="5" t="s">
        <v>22</v>
      </c>
      <c r="E33" s="5" t="s">
        <v>143</v>
      </c>
      <c r="F33" s="5" t="s">
        <v>22</v>
      </c>
      <c r="G33" s="6" t="n">
        <v>10000</v>
      </c>
      <c r="H33" s="3" t="n">
        <v>4</v>
      </c>
      <c r="I33" s="6" t="n">
        <v>15000</v>
      </c>
      <c r="J33" s="6" t="n">
        <v>1500</v>
      </c>
      <c r="K33" s="3" t="n">
        <v>0</v>
      </c>
      <c r="L33" s="7"/>
      <c r="M33" s="7" t="n">
        <v>0.2</v>
      </c>
      <c r="N33" s="8"/>
      <c r="O33" s="7"/>
      <c r="P33" s="7" t="n">
        <v>2</v>
      </c>
      <c r="Q33" s="7" t="n">
        <v>3</v>
      </c>
      <c r="R33" s="5"/>
      <c r="S33" s="5" t="s">
        <v>144</v>
      </c>
      <c r="T33" s="5" t="s">
        <v>145</v>
      </c>
    </row>
    <row r="34" customFormat="false" ht="23.85" hidden="false" customHeight="false" outlineLevel="0" collapsed="false">
      <c r="A34" s="11" t="s">
        <v>125</v>
      </c>
      <c r="B34" s="3" t="n">
        <v>1</v>
      </c>
      <c r="C34" s="4" t="s">
        <v>146</v>
      </c>
      <c r="D34" s="5" t="s">
        <v>22</v>
      </c>
      <c r="E34" s="5" t="s">
        <v>22</v>
      </c>
      <c r="F34" s="5" t="s">
        <v>22</v>
      </c>
      <c r="G34" s="6" t="n">
        <v>8000</v>
      </c>
      <c r="H34" s="3" t="n">
        <v>4</v>
      </c>
      <c r="I34" s="6" t="n">
        <v>45000</v>
      </c>
      <c r="J34" s="6" t="n">
        <v>700</v>
      </c>
      <c r="K34" s="3" t="n">
        <v>0</v>
      </c>
      <c r="L34" s="7"/>
      <c r="M34" s="7"/>
      <c r="N34" s="8" t="n">
        <v>0.02</v>
      </c>
      <c r="O34" s="7"/>
      <c r="P34" s="7" t="n">
        <v>3</v>
      </c>
      <c r="Q34" s="7" t="n">
        <v>2</v>
      </c>
      <c r="R34" s="5"/>
      <c r="S34" s="5" t="s">
        <v>147</v>
      </c>
      <c r="T34" s="5" t="s">
        <v>148</v>
      </c>
    </row>
    <row r="35" customFormat="false" ht="23.85" hidden="false" customHeight="false" outlineLevel="0" collapsed="false">
      <c r="A35" s="11" t="s">
        <v>125</v>
      </c>
      <c r="B35" s="3" t="n">
        <v>2</v>
      </c>
      <c r="C35" s="4" t="s">
        <v>127</v>
      </c>
      <c r="D35" s="5" t="s">
        <v>126</v>
      </c>
      <c r="E35" s="5" t="s">
        <v>149</v>
      </c>
      <c r="F35" s="5" t="s">
        <v>22</v>
      </c>
      <c r="G35" s="6" t="n">
        <v>5000</v>
      </c>
      <c r="H35" s="3" t="n">
        <v>3</v>
      </c>
      <c r="I35" s="6" t="n">
        <v>300</v>
      </c>
      <c r="J35" s="6" t="n">
        <v>250</v>
      </c>
      <c r="K35" s="3" t="n">
        <v>0</v>
      </c>
      <c r="L35" s="7"/>
      <c r="M35" s="7"/>
      <c r="N35" s="8"/>
      <c r="O35" s="7"/>
      <c r="P35" s="7" t="n">
        <v>2</v>
      </c>
      <c r="Q35" s="7" t="n">
        <v>2</v>
      </c>
      <c r="R35" s="5"/>
      <c r="S35" s="5" t="s">
        <v>140</v>
      </c>
      <c r="T35" s="5" t="s">
        <v>150</v>
      </c>
    </row>
    <row r="36" customFormat="false" ht="23.85" hidden="false" customHeight="false" outlineLevel="0" collapsed="false">
      <c r="A36" s="11" t="s">
        <v>125</v>
      </c>
      <c r="B36" s="3" t="n">
        <v>2</v>
      </c>
      <c r="C36" s="4" t="s">
        <v>131</v>
      </c>
      <c r="D36" s="5" t="s">
        <v>130</v>
      </c>
      <c r="E36" s="5" t="s">
        <v>22</v>
      </c>
      <c r="F36" s="5" t="s">
        <v>22</v>
      </c>
      <c r="G36" s="6" t="n">
        <v>4000</v>
      </c>
      <c r="H36" s="3" t="n">
        <v>3</v>
      </c>
      <c r="I36" s="6" t="n">
        <v>15000</v>
      </c>
      <c r="J36" s="6" t="n">
        <v>150</v>
      </c>
      <c r="K36" s="3" t="n">
        <v>0</v>
      </c>
      <c r="L36" s="7"/>
      <c r="M36" s="7"/>
      <c r="N36" s="8"/>
      <c r="O36" s="7"/>
      <c r="P36" s="7" t="n">
        <v>2</v>
      </c>
      <c r="Q36" s="7" t="n">
        <v>2</v>
      </c>
      <c r="R36" s="5"/>
      <c r="S36" s="5" t="s">
        <v>140</v>
      </c>
      <c r="T36" s="5" t="s">
        <v>151</v>
      </c>
    </row>
    <row r="37" customFormat="false" ht="23.85" hidden="false" customHeight="false" outlineLevel="0" collapsed="false">
      <c r="A37" s="11" t="s">
        <v>125</v>
      </c>
      <c r="B37" s="3" t="n">
        <v>2</v>
      </c>
      <c r="C37" s="4" t="s">
        <v>152</v>
      </c>
      <c r="D37" s="5" t="s">
        <v>134</v>
      </c>
      <c r="E37" s="5" t="s">
        <v>22</v>
      </c>
      <c r="F37" s="5" t="s">
        <v>153</v>
      </c>
      <c r="G37" s="6" t="n">
        <v>6000</v>
      </c>
      <c r="H37" s="3" t="n">
        <v>3</v>
      </c>
      <c r="I37" s="6"/>
      <c r="J37" s="6"/>
      <c r="K37" s="3"/>
      <c r="L37" s="7"/>
      <c r="M37" s="7"/>
      <c r="N37" s="8"/>
      <c r="O37" s="7"/>
      <c r="P37" s="7"/>
      <c r="Q37" s="7"/>
      <c r="R37" s="5"/>
      <c r="S37" s="5" t="s">
        <v>154</v>
      </c>
      <c r="T37" s="5" t="s">
        <v>155</v>
      </c>
    </row>
    <row r="38" customFormat="false" ht="23.85" hidden="false" customHeight="false" outlineLevel="0" collapsed="false">
      <c r="A38" s="11" t="s">
        <v>125</v>
      </c>
      <c r="B38" s="3" t="n">
        <v>2</v>
      </c>
      <c r="C38" s="4" t="s">
        <v>139</v>
      </c>
      <c r="D38" s="5" t="s">
        <v>138</v>
      </c>
      <c r="E38" s="5" t="s">
        <v>156</v>
      </c>
      <c r="F38" s="5" t="s">
        <v>22</v>
      </c>
      <c r="G38" s="6" t="n">
        <v>4000</v>
      </c>
      <c r="H38" s="3" t="n">
        <v>3</v>
      </c>
      <c r="I38" s="6" t="n">
        <v>3000</v>
      </c>
      <c r="J38" s="6" t="n">
        <v>400</v>
      </c>
      <c r="K38" s="3" t="n">
        <v>0</v>
      </c>
      <c r="L38" s="7"/>
      <c r="M38" s="7" t="n">
        <v>0.2</v>
      </c>
      <c r="N38" s="8"/>
      <c r="O38" s="7"/>
      <c r="P38" s="7" t="n">
        <v>1</v>
      </c>
      <c r="Q38" s="7" t="n">
        <v>1</v>
      </c>
      <c r="R38" s="5"/>
      <c r="S38" s="5" t="s">
        <v>157</v>
      </c>
      <c r="T38" s="5" t="s">
        <v>158</v>
      </c>
    </row>
    <row r="39" customFormat="false" ht="23.85" hidden="false" customHeight="false" outlineLevel="0" collapsed="false">
      <c r="A39" s="11" t="s">
        <v>125</v>
      </c>
      <c r="B39" s="3" t="n">
        <v>2</v>
      </c>
      <c r="C39" s="4" t="s">
        <v>143</v>
      </c>
      <c r="D39" s="5" t="s">
        <v>142</v>
      </c>
      <c r="E39" s="5" t="s">
        <v>159</v>
      </c>
      <c r="F39" s="5" t="s">
        <v>22</v>
      </c>
      <c r="G39" s="6" t="n">
        <v>12000</v>
      </c>
      <c r="H39" s="3" t="n">
        <v>4</v>
      </c>
      <c r="I39" s="6" t="n">
        <v>2000</v>
      </c>
      <c r="J39" s="6" t="n">
        <v>600</v>
      </c>
      <c r="K39" s="3" t="n">
        <v>0</v>
      </c>
      <c r="L39" s="7"/>
      <c r="M39" s="7"/>
      <c r="N39" s="8"/>
      <c r="O39" s="7"/>
      <c r="P39" s="7" t="n">
        <v>3</v>
      </c>
      <c r="Q39" s="7" t="n">
        <v>2</v>
      </c>
      <c r="R39" s="5"/>
      <c r="S39" s="5" t="s">
        <v>160</v>
      </c>
      <c r="T39" s="5" t="s">
        <v>161</v>
      </c>
    </row>
    <row r="40" customFormat="false" ht="23.85" hidden="false" customHeight="false" outlineLevel="0" collapsed="false">
      <c r="A40" s="11" t="s">
        <v>125</v>
      </c>
      <c r="B40" s="3" t="n">
        <v>2</v>
      </c>
      <c r="C40" s="4" t="s">
        <v>162</v>
      </c>
      <c r="D40" s="5" t="s">
        <v>22</v>
      </c>
      <c r="E40" s="5" t="s">
        <v>22</v>
      </c>
      <c r="F40" s="5" t="s">
        <v>22</v>
      </c>
      <c r="G40" s="6" t="n">
        <v>6000</v>
      </c>
      <c r="H40" s="3" t="n">
        <v>3</v>
      </c>
      <c r="I40" s="6" t="n">
        <v>8000</v>
      </c>
      <c r="J40" s="6" t="n">
        <v>150</v>
      </c>
      <c r="K40" s="3" t="n">
        <v>0</v>
      </c>
      <c r="L40" s="7"/>
      <c r="M40" s="7"/>
      <c r="N40" s="8"/>
      <c r="O40" s="7"/>
      <c r="P40" s="7" t="n">
        <v>2</v>
      </c>
      <c r="Q40" s="7" t="n">
        <v>3</v>
      </c>
      <c r="R40" s="5"/>
      <c r="S40" s="5" t="s">
        <v>163</v>
      </c>
      <c r="T40" s="5" t="s">
        <v>164</v>
      </c>
    </row>
    <row r="41" customFormat="false" ht="23.85" hidden="false" customHeight="false" outlineLevel="0" collapsed="false">
      <c r="A41" s="11" t="s">
        <v>125</v>
      </c>
      <c r="B41" s="3" t="n">
        <v>3</v>
      </c>
      <c r="C41" s="4" t="s">
        <v>149</v>
      </c>
      <c r="D41" s="5" t="s">
        <v>127</v>
      </c>
      <c r="E41" s="5" t="s">
        <v>165</v>
      </c>
      <c r="F41" s="5" t="s">
        <v>22</v>
      </c>
      <c r="G41" s="6" t="n">
        <v>15000</v>
      </c>
      <c r="H41" s="3" t="n">
        <v>6</v>
      </c>
      <c r="I41" s="6" t="n">
        <v>60000</v>
      </c>
      <c r="J41" s="6" t="n">
        <v>2500</v>
      </c>
      <c r="K41" s="3" t="n">
        <v>0</v>
      </c>
      <c r="L41" s="7"/>
      <c r="M41" s="7"/>
      <c r="N41" s="8" t="n">
        <v>0.03</v>
      </c>
      <c r="O41" s="7"/>
      <c r="P41" s="7" t="n">
        <v>4</v>
      </c>
      <c r="Q41" s="7" t="n">
        <v>4</v>
      </c>
      <c r="R41" s="5"/>
      <c r="S41" s="5" t="s">
        <v>166</v>
      </c>
      <c r="T41" s="5" t="s">
        <v>167</v>
      </c>
    </row>
    <row r="42" customFormat="false" ht="23.85" hidden="false" customHeight="false" outlineLevel="0" collapsed="false">
      <c r="A42" s="11" t="s">
        <v>125</v>
      </c>
      <c r="B42" s="3" t="n">
        <v>3</v>
      </c>
      <c r="C42" s="4" t="s">
        <v>168</v>
      </c>
      <c r="D42" s="5" t="s">
        <v>134</v>
      </c>
      <c r="E42" s="5" t="s">
        <v>22</v>
      </c>
      <c r="F42" s="5" t="s">
        <v>22</v>
      </c>
      <c r="G42" s="6" t="n">
        <v>10000</v>
      </c>
      <c r="H42" s="3" t="n">
        <v>4</v>
      </c>
      <c r="I42" s="6" t="n">
        <v>25000</v>
      </c>
      <c r="J42" s="6" t="n">
        <v>300</v>
      </c>
      <c r="K42" s="3" t="n">
        <v>0</v>
      </c>
      <c r="L42" s="7"/>
      <c r="M42" s="7"/>
      <c r="N42" s="8"/>
      <c r="O42" s="7"/>
      <c r="P42" s="7" t="n">
        <v>1</v>
      </c>
      <c r="Q42" s="7" t="n">
        <v>3</v>
      </c>
      <c r="R42" s="5"/>
      <c r="S42" s="5" t="s">
        <v>169</v>
      </c>
      <c r="T42" s="5" t="s">
        <v>170</v>
      </c>
    </row>
    <row r="43" customFormat="false" ht="23.85" hidden="false" customHeight="false" outlineLevel="0" collapsed="false">
      <c r="A43" s="11" t="s">
        <v>125</v>
      </c>
      <c r="B43" s="3" t="n">
        <v>3</v>
      </c>
      <c r="C43" s="4" t="s">
        <v>156</v>
      </c>
      <c r="D43" s="5" t="s">
        <v>139</v>
      </c>
      <c r="E43" s="5" t="s">
        <v>22</v>
      </c>
      <c r="F43" s="5" t="s">
        <v>22</v>
      </c>
      <c r="G43" s="6" t="n">
        <v>20000</v>
      </c>
      <c r="H43" s="3" t="n">
        <v>6</v>
      </c>
      <c r="I43" s="6" t="n">
        <v>40000</v>
      </c>
      <c r="J43" s="6" t="n">
        <v>900</v>
      </c>
      <c r="K43" s="3" t="n">
        <v>0</v>
      </c>
      <c r="L43" s="7"/>
      <c r="M43" s="7"/>
      <c r="N43" s="8"/>
      <c r="O43" s="7"/>
      <c r="P43" s="7" t="n">
        <v>3</v>
      </c>
      <c r="Q43" s="7" t="n">
        <v>4</v>
      </c>
      <c r="R43" s="5"/>
      <c r="S43" s="5" t="s">
        <v>171</v>
      </c>
      <c r="T43" s="5" t="s">
        <v>172</v>
      </c>
    </row>
    <row r="44" customFormat="false" ht="23.85" hidden="false" customHeight="false" outlineLevel="0" collapsed="false">
      <c r="A44" s="11" t="s">
        <v>125</v>
      </c>
      <c r="B44" s="3" t="n">
        <v>3</v>
      </c>
      <c r="C44" s="4" t="s">
        <v>173</v>
      </c>
      <c r="D44" s="5" t="s">
        <v>22</v>
      </c>
      <c r="E44" s="5" t="s">
        <v>22</v>
      </c>
      <c r="F44" s="5" t="s">
        <v>22</v>
      </c>
      <c r="G44" s="6" t="n">
        <v>5000</v>
      </c>
      <c r="H44" s="3" t="n">
        <v>3</v>
      </c>
      <c r="I44" s="6" t="n">
        <v>1000</v>
      </c>
      <c r="J44" s="6" t="n">
        <v>300</v>
      </c>
      <c r="K44" s="3" t="n">
        <v>0</v>
      </c>
      <c r="L44" s="7"/>
      <c r="M44" s="7" t="n">
        <v>0.3</v>
      </c>
      <c r="N44" s="8"/>
      <c r="O44" s="7"/>
      <c r="P44" s="7" t="n">
        <v>2</v>
      </c>
      <c r="Q44" s="7" t="n">
        <v>3</v>
      </c>
      <c r="R44" s="5"/>
      <c r="S44" s="5" t="s">
        <v>174</v>
      </c>
      <c r="T44" s="5" t="s">
        <v>175</v>
      </c>
    </row>
    <row r="45" customFormat="false" ht="35.05" hidden="false" customHeight="false" outlineLevel="0" collapsed="false">
      <c r="A45" s="11" t="s">
        <v>125</v>
      </c>
      <c r="B45" s="3" t="n">
        <v>3</v>
      </c>
      <c r="C45" s="4" t="s">
        <v>159</v>
      </c>
      <c r="D45" s="5" t="s">
        <v>143</v>
      </c>
      <c r="E45" s="5" t="s">
        <v>22</v>
      </c>
      <c r="F45" s="5" t="s">
        <v>159</v>
      </c>
      <c r="G45" s="6" t="n">
        <v>30000</v>
      </c>
      <c r="H45" s="3" t="n">
        <v>9</v>
      </c>
      <c r="I45" s="6"/>
      <c r="J45" s="6"/>
      <c r="K45" s="3"/>
      <c r="L45" s="7"/>
      <c r="M45" s="7"/>
      <c r="N45" s="8"/>
      <c r="O45" s="7"/>
      <c r="P45" s="7"/>
      <c r="Q45" s="7"/>
      <c r="R45" s="5"/>
      <c r="S45" s="5" t="s">
        <v>176</v>
      </c>
      <c r="T45" s="5" t="s">
        <v>177</v>
      </c>
    </row>
    <row r="46" customFormat="false" ht="23.85" hidden="false" customHeight="false" outlineLevel="0" collapsed="false">
      <c r="A46" s="11" t="s">
        <v>125</v>
      </c>
      <c r="B46" s="3" t="n">
        <v>4</v>
      </c>
      <c r="C46" s="4" t="s">
        <v>178</v>
      </c>
      <c r="D46" s="5" t="s">
        <v>149</v>
      </c>
      <c r="E46" s="5" t="s">
        <v>22</v>
      </c>
      <c r="F46" s="5" t="s">
        <v>22</v>
      </c>
      <c r="G46" s="6" t="n">
        <v>6000</v>
      </c>
      <c r="H46" s="3" t="n">
        <v>4</v>
      </c>
      <c r="I46" s="6" t="n">
        <v>5000</v>
      </c>
      <c r="J46" s="6" t="n">
        <v>200</v>
      </c>
      <c r="K46" s="3" t="n">
        <v>0</v>
      </c>
      <c r="L46" s="7"/>
      <c r="M46" s="7"/>
      <c r="N46" s="8"/>
      <c r="O46" s="7"/>
      <c r="P46" s="7" t="n">
        <v>2</v>
      </c>
      <c r="Q46" s="7" t="n">
        <v>1</v>
      </c>
      <c r="R46" s="5"/>
      <c r="S46" s="5" t="s">
        <v>179</v>
      </c>
      <c r="T46" s="5" t="s">
        <v>180</v>
      </c>
    </row>
    <row r="47" customFormat="false" ht="23.85" hidden="false" customHeight="false" outlineLevel="0" collapsed="false">
      <c r="A47" s="11" t="s">
        <v>125</v>
      </c>
      <c r="B47" s="3" t="n">
        <v>4</v>
      </c>
      <c r="C47" s="4" t="s">
        <v>181</v>
      </c>
      <c r="D47" s="5" t="s">
        <v>182</v>
      </c>
      <c r="E47" s="5" t="s">
        <v>22</v>
      </c>
      <c r="F47" s="5" t="s">
        <v>22</v>
      </c>
      <c r="G47" s="6" t="n">
        <v>40000</v>
      </c>
      <c r="H47" s="3" t="n">
        <v>11</v>
      </c>
      <c r="I47" s="6" t="n">
        <v>150000</v>
      </c>
      <c r="J47" s="6" t="n">
        <v>4000</v>
      </c>
      <c r="K47" s="3" t="n">
        <v>0</v>
      </c>
      <c r="L47" s="7"/>
      <c r="M47" s="7"/>
      <c r="N47" s="8"/>
      <c r="O47" s="7"/>
      <c r="P47" s="7" t="n">
        <v>5</v>
      </c>
      <c r="Q47" s="7" t="n">
        <v>8</v>
      </c>
      <c r="R47" s="5"/>
      <c r="S47" s="5" t="s">
        <v>183</v>
      </c>
      <c r="T47" s="5" t="s">
        <v>184</v>
      </c>
    </row>
  </sheetData>
  <autoFilter ref="A1:T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20"/>
  </cols>
  <sheetData>
    <row r="1" customFormat="false" ht="45" hidden="false" customHeight="true" outlineLevel="0" collapsed="false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</row>
    <row r="2" customFormat="false" ht="15" hidden="false" customHeight="false" outlineLevel="0" collapsed="false">
      <c r="A2" s="12" t="s">
        <v>20</v>
      </c>
      <c r="B2" s="13" t="n">
        <f aca="false">COUNTIF(Tecnologie!$A$2:$A$47,A2)</f>
        <v>11</v>
      </c>
      <c r="C2" s="13" t="n">
        <f aca="false">SUMIF(Tecnologie!$A$2:$A$47,A2,Tecnologie!$G$2:$G$47)</f>
        <v>451000</v>
      </c>
      <c r="D2" s="13" t="n">
        <f aca="false">SUMIF(Tecnologie!$A$2:$A$47,A2,Tecnologie!$H$2:$H$47)</f>
        <v>94</v>
      </c>
      <c r="E2" s="13" t="n">
        <f aca="false">SUMIF(Tecnologie!$A$2:$A$47,A2,Tecnologie!$I$2:$I$47)</f>
        <v>761000</v>
      </c>
      <c r="F2" s="13" t="n">
        <f aca="false">SUMIF(Tecnologie!$A$2:$A$47,A2,Tecnologie!$J$2:$J$47)</f>
        <v>8950</v>
      </c>
    </row>
    <row r="3" customFormat="false" ht="15" hidden="false" customHeight="false" outlineLevel="0" collapsed="false">
      <c r="A3" s="14" t="s">
        <v>65</v>
      </c>
      <c r="B3" s="13" t="n">
        <f aca="false">COUNTIF(Tecnologie!$A$2:$A$47,A3)</f>
        <v>8</v>
      </c>
      <c r="C3" s="13" t="n">
        <f aca="false">SUMIF(Tecnologie!$A$2:$A$47,A3,Tecnologie!$G$2:$G$47)</f>
        <v>263000</v>
      </c>
      <c r="D3" s="13" t="n">
        <f aca="false">SUMIF(Tecnologie!$A$2:$A$47,A3,Tecnologie!$H$2:$H$47)</f>
        <v>71</v>
      </c>
      <c r="E3" s="13" t="n">
        <f aca="false">SUMIF(Tecnologie!$A$2:$A$47,A3,Tecnologie!$I$2:$I$47)</f>
        <v>0</v>
      </c>
      <c r="F3" s="13" t="n">
        <f aca="false">SUMIF(Tecnologie!$A$2:$A$47,A3,Tecnologie!$J$2:$J$47)</f>
        <v>0</v>
      </c>
    </row>
    <row r="4" customFormat="false" ht="15" hidden="false" customHeight="false" outlineLevel="0" collapsed="false">
      <c r="A4" s="15" t="s">
        <v>94</v>
      </c>
      <c r="B4" s="13" t="n">
        <f aca="false">COUNTIF(Tecnologie!$A$2:$A$47,A4)</f>
        <v>8</v>
      </c>
      <c r="C4" s="13" t="n">
        <f aca="false">SUMIF(Tecnologie!$A$2:$A$47,A4,Tecnologie!$G$2:$G$47)</f>
        <v>305000</v>
      </c>
      <c r="D4" s="13" t="n">
        <f aca="false">SUMIF(Tecnologie!$A$2:$A$47,A4,Tecnologie!$H$2:$H$47)</f>
        <v>66</v>
      </c>
      <c r="E4" s="13" t="n">
        <f aca="false">SUMIF(Tecnologie!$A$2:$A$47,A4,Tecnologie!$I$2:$I$47)</f>
        <v>0</v>
      </c>
      <c r="F4" s="13" t="n">
        <f aca="false">SUMIF(Tecnologie!$A$2:$A$47,A4,Tecnologie!$J$2:$J$47)</f>
        <v>0</v>
      </c>
    </row>
    <row r="5" customFormat="false" ht="15" hidden="false" customHeight="false" outlineLevel="0" collapsed="false">
      <c r="A5" s="16" t="s">
        <v>125</v>
      </c>
      <c r="B5" s="13" t="n">
        <f aca="false">COUNTIF(Tecnologie!$A$2:$A$47,A5)</f>
        <v>19</v>
      </c>
      <c r="C5" s="13" t="n">
        <f aca="false">SUMIF(Tecnologie!$A$2:$A$47,A5,Tecnologie!$G$2:$G$47)</f>
        <v>195500</v>
      </c>
      <c r="D5" s="13" t="n">
        <f aca="false">SUMIF(Tecnologie!$A$2:$A$47,A5,Tecnologie!$H$2:$H$47)</f>
        <v>82</v>
      </c>
      <c r="E5" s="13" t="n">
        <f aca="false">SUMIF(Tecnologie!$A$2:$A$47,A5,Tecnologie!$I$2:$I$47)</f>
        <v>425700</v>
      </c>
      <c r="F5" s="13" t="n">
        <f aca="false">SUMIF(Tecnologie!$A$2:$A$47,A5,Tecnologie!$J$2:$J$47)</f>
        <v>13560</v>
      </c>
    </row>
    <row r="6" customFormat="false" ht="15" hidden="false" customHeight="false" outlineLevel="0" collapsed="false">
      <c r="A6" s="17" t="s">
        <v>190</v>
      </c>
      <c r="B6" s="18" t="n">
        <f aca="false">SUM(B2:B5)</f>
        <v>46</v>
      </c>
      <c r="C6" s="18" t="n">
        <f aca="false">SUM(C2:C5)</f>
        <v>1214500</v>
      </c>
      <c r="D6" s="18" t="n">
        <f aca="false">SUM(D2:D5)</f>
        <v>313</v>
      </c>
      <c r="E6" s="18" t="n">
        <f aca="false">SUM(E2:E5)</f>
        <v>1186700</v>
      </c>
      <c r="F6" s="18" t="n">
        <f aca="false">SUM(F2:F5)</f>
        <v>22510</v>
      </c>
    </row>
    <row r="8" customFormat="false" ht="15" hidden="false" customHeight="false" outlineLevel="0" collapsed="false">
      <c r="A8" s="17" t="s">
        <v>191</v>
      </c>
    </row>
    <row r="9" customFormat="false" ht="15" hidden="false" customHeight="false" outlineLevel="0" collapsed="false">
      <c r="A9" s="19" t="s">
        <v>192</v>
      </c>
    </row>
    <row r="10" customFormat="false" ht="15" hidden="false" customHeight="false" outlineLevel="0" collapsed="false">
      <c r="A10" s="19" t="s">
        <v>193</v>
      </c>
    </row>
    <row r="11" customFormat="false" ht="15" hidden="false" customHeight="false" outlineLevel="0" collapsed="false">
      <c r="A11" s="19" t="s">
        <v>194</v>
      </c>
    </row>
    <row r="12" customFormat="false" ht="15" hidden="false" customHeight="false" outlineLevel="0" collapsed="false">
      <c r="A12" s="19" t="s">
        <v>195</v>
      </c>
    </row>
    <row r="13" customFormat="false" ht="15" hidden="false" customHeight="false" outlineLevel="0" collapsed="false">
      <c r="A13" s="19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2026-10-21T09:06:09Z</dcterms:created>
  <dc:creator>openpyxl</dc:creator>
  <dc:description/>
  <dc:language>en-US</dc:language>
  <cp:lastModifiedBy/>
  <dcterms:modified xsi:type="dcterms:W3CDTF">2026-10-21T09:06:09Z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