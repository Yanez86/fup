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" sheetId="1" state="visible" r:id="rId3"/>
    <sheet name="Clienti" sheetId="2" state="visible" r:id="rId4"/>
    <sheet name="Regole" sheetId="3" state="visible" r:id="rId5"/>
    <sheet name="Personaggi" sheetId="4" state="visible" r:id="rId6"/>
    <sheet name="Talenti" sheetId="5" state="visible" r:id="rId7"/>
    <sheet name="Recruiting" sheetId="6" state="visible" r:id="rId8"/>
    <sheet name="Tecnologie" sheetId="7" state="visible" r:id="rId9"/>
    <sheet name="Eventi" sheetId="8" state="visible" r:id="rId10"/>
    <sheet name="Simulazione" sheetId="9" state="visible" r:id="rId11"/>
  </sheets>
  <definedNames>
    <definedName function="false" hidden="true" localSheetId="7" name="_xlnm._FilterDatabase" vbProcedure="false">Eventi!$A$4:$R$37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<sst xmlns="http://schemas.openxmlformats.org/spreadsheetml/2006/main" count="1154" uniqueCount="851">
  <si>
    <t xml:space="preserve">KPI di servizio: Puntualità e Accuratezza</t>
  </si>
  <si>
    <t xml:space="preserve">L'OTIF è diviso in due KPI distinti. Ogni cliente può richiederne uno, entrambi o con soglie diverse.</t>
  </si>
  <si>
    <t xml:space="preserve">KPI</t>
  </si>
  <si>
    <t xml:space="preserve">Cosa misura</t>
  </si>
  <si>
    <t xml:space="preserve">Fattore che lo influenza</t>
  </si>
  <si>
    <t xml:space="preserve">Dettaglio</t>
  </si>
  <si>
    <t xml:space="preserve">Puntualità (On Time)</t>
  </si>
  <si>
    <t xml:space="preserve">% di consegne arrivate entro la data o la fascia oraria concordata</t>
  </si>
  <si>
    <t xml:space="preserve">Capacità di trasporto</t>
  </si>
  <si>
    <t xml:space="preserve">Mezzi e autisti disponibili rispetto agli ordini</t>
  </si>
  <si>
    <t xml:space="preserve">Tratta</t>
  </si>
  <si>
    <t xml:space="preserve">Distanza e tipo di percorso: città, autostrada, valichi alpini</t>
  </si>
  <si>
    <t xml:space="preserve">Eventi</t>
  </si>
  <si>
    <t xml:space="preserve">Neve, scioperi, blocchi stradali, guasti</t>
  </si>
  <si>
    <t xml:space="preserve">Persone</t>
  </si>
  <si>
    <t xml:space="preserve">Abilità Operazioni del manager e del Direttore Operativo</t>
  </si>
  <si>
    <t xml:space="preserve">Tecnologia</t>
  </si>
  <si>
    <t xml:space="preserve">Telematica, pianificazione delle rotte</t>
  </si>
  <si>
    <t xml:space="preserve">Vettori esterni</t>
  </si>
  <si>
    <t xml:space="preserve">Affidabilità dei padroncini e dei vettori in subvezione</t>
  </si>
  <si>
    <t xml:space="preserve">Accuratezza (In Full)</t>
  </si>
  <si>
    <t xml:space="preserve">% di ordini consegnati completi e corretti: articoli e quantità giusti, senza danni</t>
  </si>
  <si>
    <t xml:space="preserve">Magazzinieri</t>
  </si>
  <si>
    <t xml:space="preserve">Morale ed esperienza</t>
  </si>
  <si>
    <t xml:space="preserve">Saturazione</t>
  </si>
  <si>
    <t xml:space="preserve">Oltre la soglia del foglio Regole gli errori aumentano</t>
  </si>
  <si>
    <t xml:space="preserve">Lettori barcode, WMS, pick-to-light, robot</t>
  </si>
  <si>
    <t xml:space="preserve">Abilità del manager del magazzino</t>
  </si>
  <si>
    <t xml:space="preserve">Tipo di merce</t>
  </si>
  <si>
    <t xml:space="preserve">Fragile, refrigerata o a lotti è più difficile da gestire</t>
  </si>
  <si>
    <t xml:space="preserve">Requisiti dei clienti</t>
  </si>
  <si>
    <t xml:space="preserve">Celle in blu su sfondo giallo: da modificare. Soglia vuota = KPI non richiesto. I valori "attuali" sono esempi per provare gli esiti.</t>
  </si>
  <si>
    <t xml:space="preserve">Cliente</t>
  </si>
  <si>
    <t xml:space="preserve">Settore</t>
  </si>
  <si>
    <t xml:space="preserve">Soglia puntualità</t>
  </si>
  <si>
    <t xml:space="preserve">Soglia accuratezza</t>
  </si>
  <si>
    <t xml:space="preserve">Perché</t>
  </si>
  <si>
    <t xml:space="preserve">Puntualità attuale (esempio)</t>
  </si>
  <si>
    <t xml:space="preserve">Accuratezza attuale (esempio)</t>
  </si>
  <si>
    <t xml:space="preserve">Esito puntualità</t>
  </si>
  <si>
    <t xml:space="preserve">Esito accuratezza</t>
  </si>
  <si>
    <t xml:space="preserve">Stato complessivo</t>
  </si>
  <si>
    <t xml:space="preserve">Esselonga</t>
  </si>
  <si>
    <t xml:space="preserve">GDO freschi</t>
  </si>
  <si>
    <t xml:space="preserve">Gli scaffali vuoti al mattino sono un disastro</t>
  </si>
  <si>
    <t xml:space="preserve">ElettroUnieuri</t>
  </si>
  <si>
    <t xml:space="preserve">Elettronica di consumo</t>
  </si>
  <si>
    <t xml:space="preserve">Un frigo sbagliato o rotto costa caro</t>
  </si>
  <si>
    <t xml:space="preserve">Pastificio Rummolo</t>
  </si>
  <si>
    <t xml:space="preserve">Alimentare secco</t>
  </si>
  <si>
    <t xml:space="preserve">Pasta secca: conta solo che arrivi</t>
  </si>
  <si>
    <t xml:space="preserve">FarmaSpa</t>
  </si>
  <si>
    <t xml:space="preserve">Farmaceutico</t>
  </si>
  <si>
    <t xml:space="preserve">Lotti e scadenze tracciati: cliente difficilissimo</t>
  </si>
  <si>
    <t xml:space="preserve">Regole dei KPI</t>
  </si>
  <si>
    <t xml:space="preserve">Parametro</t>
  </si>
  <si>
    <t xml:space="preserve">Valore</t>
  </si>
  <si>
    <t xml:space="preserve">Note</t>
  </si>
  <si>
    <t xml:space="preserve">Margine "leggermente sotto" (punti %)</t>
  </si>
  <si>
    <t xml:space="preserve">Ipotesi di design: sotto la soglia fino a questo margine = "Leggermente sotto"; oltre = "Molto sotto".</t>
  </si>
  <si>
    <t xml:space="preserve">Saturazione oltre cui aumentano gli errori</t>
  </si>
  <si>
    <t xml:space="preserve">Ipotesi di design usata per l'accuratezza (vedi foglio KPI).</t>
  </si>
  <si>
    <t xml:space="preserve">Esito</t>
  </si>
  <si>
    <t xml:space="preserve">Effetto sul cliente</t>
  </si>
  <si>
    <t xml:space="preserve">Sopra soglia</t>
  </si>
  <si>
    <t xml:space="preserve">La soddisfazione sale; possibili bonus o ampliamenti del contratto.</t>
  </si>
  <si>
    <t xml:space="preserve">Leggermente sotto</t>
  </si>
  <si>
    <t xml:space="preserve">La soddisfazione cala.</t>
  </si>
  <si>
    <t xml:space="preserve">Molto sotto</t>
  </si>
  <si>
    <t xml:space="preserve">Penali economiche; se dura più mesi, rischio di mancato rinnovo.</t>
  </si>
  <si>
    <t xml:space="preserve">Non richiesto</t>
  </si>
  <si>
    <t xml:space="preserve">Il KPI non è nel contratto: non incide sulla soddisfazione.</t>
  </si>
  <si>
    <t xml:space="preserve">Personaggi</t>
  </si>
  <si>
    <t xml:space="preserve">Abilità di base + modificatori dei talenti = valore finale (limitato tra 0 e 20). I talenti si scelgono dall'elenco del foglio Talenti. Celle in blu: da modificare.</t>
  </si>
  <si>
    <t xml:space="preserve">Nome</t>
  </si>
  <si>
    <t xml:space="preserve">Età</t>
  </si>
  <si>
    <t xml:space="preserve">Gruppo</t>
  </si>
  <si>
    <t xml:space="preserve">Ruolo</t>
  </si>
  <si>
    <t xml:space="preserve">Provincia</t>
  </si>
  <si>
    <t xml:space="preserve">Talento 1</t>
  </si>
  <si>
    <t xml:space="preserve">Talento 2</t>
  </si>
  <si>
    <t xml:space="preserve">Talento 3</t>
  </si>
  <si>
    <t xml:space="preserve">Operazioni base</t>
  </si>
  <si>
    <t xml:space="preserve">Precisione base</t>
  </si>
  <si>
    <t xml:space="preserve">Negoziazione base</t>
  </si>
  <si>
    <t xml:space="preserve">Leadership base</t>
  </si>
  <si>
    <t xml:space="preserve">Amministrazione base</t>
  </si>
  <si>
    <t xml:space="preserve">Innovazione base</t>
  </si>
  <si>
    <t xml:space="preserve">Operazioni</t>
  </si>
  <si>
    <t xml:space="preserve">Precisione</t>
  </si>
  <si>
    <t xml:space="preserve">Negoziazione</t>
  </si>
  <si>
    <t xml:space="preserve">Leadership</t>
  </si>
  <si>
    <t xml:space="preserve">Amministrazione</t>
  </si>
  <si>
    <t xml:space="preserve">Innovazione</t>
  </si>
  <si>
    <t xml:space="preserve">Tenuta allo stress</t>
  </si>
  <si>
    <t xml:space="preserve">Biografia</t>
  </si>
  <si>
    <t xml:space="preserve">Gino Bertolotti</t>
  </si>
  <si>
    <t xml:space="preserve">CEO giocabile</t>
  </si>
  <si>
    <t xml:space="preserve">Titolare, ex padroncino</t>
  </si>
  <si>
    <t xml:space="preserve">Alessandria</t>
  </si>
  <si>
    <t xml:space="preserve">Un milione di km al volante</t>
  </si>
  <si>
    <t xml:space="preserve">Allergico al gestionale</t>
  </si>
  <si>
    <t xml:space="preserve">Dialetto stretto</t>
  </si>
  <si>
    <t xml:space="preserve">Trent'anni sulle strade d'Europa, poi il capannone di Rivalta Scrivia comprato con la liquidazione e un mutuo. Conosce ogni casello dell'A7 e diffida di tutto ciò che ha una presa elettrica.</t>
  </si>
  <si>
    <t xml:space="preserve">Edoardo Ferretti</t>
  </si>
  <si>
    <t xml:space="preserve">Figlio del fondatore</t>
  </si>
  <si>
    <t xml:space="preserve">Milano</t>
  </si>
  <si>
    <t xml:space="preserve">Laureato in Bocconi</t>
  </si>
  <si>
    <t xml:space="preserve">Papà ha sempre ragione</t>
  </si>
  <si>
    <t xml:space="preserve">Sempre al telefono</t>
  </si>
  <si>
    <t xml:space="preserve">Ha ereditato il magazzino di Pioltello e un padre che passa "solo per un caffè" tutti i giorni alle 8. Vuole dimostrare di valere più del cognome.</t>
  </si>
  <si>
    <t xml:space="preserve">Valeria Conti</t>
  </si>
  <si>
    <t xml:space="preserve">Ex manager di multinazionale</t>
  </si>
  <si>
    <t xml:space="preserve">Novara</t>
  </si>
  <si>
    <t xml:space="preserve">Parla per acronimi</t>
  </si>
  <si>
    <t xml:space="preserve">Stacanovista</t>
  </si>
  <si>
    <t xml:space="preserve">Cena col buyer</t>
  </si>
  <si>
    <t xml:space="preserve">Quindici anni di slide e KPI in una multinazionale. Licenziata in una ristrutturazione, ha deciso di fare da sé. Dorme quattro ore a notte e lo considera un vantaggio competitivo.</t>
  </si>
  <si>
    <t xml:space="preserve">Marco Pellegrino</t>
  </si>
  <si>
    <t xml:space="preserve">Ingegnere gestionale</t>
  </si>
  <si>
    <t xml:space="preserve">Genova</t>
  </si>
  <si>
    <t xml:space="preserve">Excel-dipendente</t>
  </si>
  <si>
    <t xml:space="preserve">Parla con i robot</t>
  </si>
  <si>
    <t xml:space="preserve">Calma olimpica</t>
  </si>
  <si>
    <t xml:space="preserve">Ha progettato magazzini automatici per altri, ora ne vuole uno suo. Il piccolo deposito di Voltri è il prototipo: ogni pallet ha un codice, ogni codice ha un foglio Excel.</t>
  </si>
  <si>
    <t xml:space="preserve">Rosa Brambati</t>
  </si>
  <si>
    <t xml:space="preserve">Manager disponibile</t>
  </si>
  <si>
    <t xml:space="preserve">Manager di magazzino</t>
  </si>
  <si>
    <t xml:space="preserve">Lodi</t>
  </si>
  <si>
    <t xml:space="preserve">Ex sindacalista</t>
  </si>
  <si>
    <t xml:space="preserve">Mano larga</t>
  </si>
  <si>
    <t xml:space="preserve">Ha iniziato sul muletto, ha guidato la RSU per dieci anni. I magazzinieri la seguirebbero ovunque, i commercialisti un po' meno.</t>
  </si>
  <si>
    <t xml:space="preserve">Salvatore "Totò" Esposito</t>
  </si>
  <si>
    <t xml:space="preserve">Capo traffico</t>
  </si>
  <si>
    <t xml:space="preserve">Conosce tutti al bar</t>
  </si>
  <si>
    <t xml:space="preserve">Trasferito da Napoli nel 1979, conosce ogni padroncino della provincia per nome e soprannome. Ha tre cellulari e li usa tutti.</t>
  </si>
  <si>
    <t xml:space="preserve">Chiara Ferraris</t>
  </si>
  <si>
    <t xml:space="preserve">Manager junior</t>
  </si>
  <si>
    <t xml:space="preserve">Torino</t>
  </si>
  <si>
    <t xml:space="preserve">Ansia da prestazione</t>
  </si>
  <si>
    <t xml:space="preserve">Laurea al Politecnico, due stage, un master. Prepara report impeccabili, ma un ritardo di un camion le rovina la settimana.</t>
  </si>
  <si>
    <t xml:space="preserve">Davide Rinaldi</t>
  </si>
  <si>
    <t xml:space="preserve">Bergamo</t>
  </si>
  <si>
    <t xml:space="preserve">Braccino corto</t>
  </si>
  <si>
    <t xml:space="preserve">Ha portato un magazzino di Orio dal 70% al 99% di accuratezza. Nessuno sa come, nessuno ha avuto un aumento.</t>
  </si>
  <si>
    <t xml:space="preserve">Luca Mazzoleni</t>
  </si>
  <si>
    <t xml:space="preserve">Responsabile tecnologia</t>
  </si>
  <si>
    <t xml:space="preserve">Brescia</t>
  </si>
  <si>
    <t xml:space="preserve">Insonne</t>
  </si>
  <si>
    <t xml:space="preserve">Programma di notte, installa di giorno. Chiama i robot del magazzino per nome.</t>
  </si>
  <si>
    <t xml:space="preserve">Franca Gallo</t>
  </si>
  <si>
    <t xml:space="preserve">Responsabile amministrazione</t>
  </si>
  <si>
    <t xml:space="preserve">Ha visto passare la lira, l'euro e tre gestionali. Le fatture le controlla ancora a mano, una per una, e non sbaglia mai.</t>
  </si>
  <si>
    <t xml:space="preserve">Klaus Effizienz</t>
  </si>
  <si>
    <t xml:space="preserve">CEO concorrente</t>
  </si>
  <si>
    <t xml:space="preserve">CEO di Logistix Global</t>
  </si>
  <si>
    <t xml:space="preserve">Arrivato da Amburgo per "razionalizzare il mercato italiano". Trova la pausa caffè una perdita di efficienza.</t>
  </si>
  <si>
    <t xml:space="preserve">Ambrogio Brambilla</t>
  </si>
  <si>
    <t xml:space="preserve">Fondatore di F.lli Brambilla</t>
  </si>
  <si>
    <t xml:space="preserve">Fondò l'azienda nel 1958 con un camion e un mulo. Non ha ancora deciso a quale dei tre figli lasciarla, e i figli non si parlano.</t>
  </si>
  <si>
    <t xml:space="preserve">Renato Bartolazzi</t>
  </si>
  <si>
    <t xml:space="preserve">CEO del Gruppo Bartolazzi</t>
  </si>
  <si>
    <t xml:space="preserve">Fuori mappa</t>
  </si>
  <si>
    <t xml:space="preserve">Ha fatto il militare</t>
  </si>
  <si>
    <t xml:space="preserve">Guida da Bologna una rete di corrieri in tutta Italia. Nel Nord-Ovest difende ogni cliente come se fosse l'ultimo.</t>
  </si>
  <si>
    <t xml:space="preserve">Denis Fatica</t>
  </si>
  <si>
    <t xml:space="preserve">Presidente della Cooperativa La Fatica</t>
  </si>
  <si>
    <t xml:space="preserve">Pavia</t>
  </si>
  <si>
    <t xml:space="preserve">Vince le gare con i prezzi più bassi della regione. Come ci riesca è oggetto di tre indagini e di molte chiacchiere.</t>
  </si>
  <si>
    <t xml:space="preserve">Ludovica Sprint</t>
  </si>
  <si>
    <t xml:space="preserve">Fondatrice di Spedisci.io (dal 2012)</t>
  </si>
  <si>
    <t xml:space="preserve">Ha raccolto 20 milioni dagli investitori con una presentazione di 12 slide. Promette consegne in due ore e un'app per tutto.</t>
  </si>
  <si>
    <t xml:space="preserve">Talenti</t>
  </si>
  <si>
    <t xml:space="preserve">Modificatori sulle sei abilità (scala 0-20) e sulla tenuta allo stress. Celle in blu: da bilanciare.</t>
  </si>
  <si>
    <t xml:space="preserve">Talento</t>
  </si>
  <si>
    <t xml:space="preserve">Tipo</t>
  </si>
  <si>
    <t xml:space="preserve">Altri effetti</t>
  </si>
  <si>
    <t xml:space="preserve">Origine</t>
  </si>
  <si>
    <t xml:space="preserve">Gli autisti lo rispettano: morale autisti +5</t>
  </si>
  <si>
    <t xml:space="preserve">Negativo</t>
  </si>
  <si>
    <t xml:space="preserve">Curva di apprendimento +50% nel suo magazzino</t>
  </si>
  <si>
    <t xml:space="preserve">Misto</t>
  </si>
  <si>
    <t xml:space="preserve">Opinione degli operai +10, dei clienti multinazionali −10</t>
  </si>
  <si>
    <t xml:space="preserve">Accesso a eventi con banche e investitori</t>
  </si>
  <si>
    <t xml:space="preserve">Il fondatore interviene negli eventi</t>
  </si>
  <si>
    <t xml:space="preserve">Risponde ai clienti anche in ferie</t>
  </si>
  <si>
    <t xml:space="preserve">Bonus nelle gare dei clienti grandi</t>
  </si>
  <si>
    <t xml:space="preserve">Lo stress sale il doppio</t>
  </si>
  <si>
    <t xml:space="preserve">Positivo</t>
  </si>
  <si>
    <t xml:space="preserve">Scelte speciali negli eventi con i clienti</t>
  </si>
  <si>
    <t xml:space="preserve">Report KPI più precisi</t>
  </si>
  <si>
    <t xml:space="preserve">Curva di apprendimento −30%</t>
  </si>
  <si>
    <t xml:space="preserve">Ignora gli eventi di panico</t>
  </si>
  <si>
    <t xml:space="preserve">Opinione dei dipendenti giovani −10</t>
  </si>
  <si>
    <t xml:space="preserve">Vertenze sindacali −50%</t>
  </si>
  <si>
    <t xml:space="preserve">Scopre in anticipo le mosse dei concorrenti nella sua provincia</t>
  </si>
  <si>
    <t xml:space="preserve">Costi del suo magazzino −5%, morale −5</t>
  </si>
  <si>
    <t xml:space="preserve">Morale +5, costi del suo magazzino +5%</t>
  </si>
  <si>
    <t xml:space="preserve">Precisione alta, crolla sotto pressione</t>
  </si>
  <si>
    <t xml:space="preserve">Arriva con lo stress alto; sparisce con le ferie</t>
  </si>
  <si>
    <t xml:space="preserve">Tifo sfegatato</t>
  </si>
  <si>
    <t xml:space="preserve">Eventi speciali nei giorni del derby</t>
  </si>
  <si>
    <t xml:space="preserve">Recruiting: compensi, welfare, canali e credibilità</t>
  </si>
  <si>
    <t xml:space="preserve">Valori di partenza indicativi per il 2002, da bilanciare. Celle in blu su sfondo giallo: da modificare. Il resto sono formule.</t>
  </si>
  <si>
    <t xml:space="preserve">1. Ruoli e stipendio di mercato (RAL di riferimento, anno 2002)</t>
  </si>
  <si>
    <t xml:space="preserve">RAL di mercato (€)</t>
  </si>
  <si>
    <t xml:space="preserve">Costo azienda (€/anno)</t>
  </si>
  <si>
    <t xml:space="preserve">Disponibilità candidati (1-5)</t>
  </si>
  <si>
    <t xml:space="preserve">Statistica principale</t>
  </si>
  <si>
    <t xml:space="preserve">Coefficiente costo azienda</t>
  </si>
  <si>
    <t xml:space="preserve">Autista patente CE</t>
  </si>
  <si>
    <t xml:space="preserve">Carenza cronica: pochi candidati, molto contesi</t>
  </si>
  <si>
    <t xml:space="preserve">Autista patente C (furgoni/motrici)</t>
  </si>
  <si>
    <t xml:space="preserve">Ipotesi: contributi, TFR e oneri ≈ +42% sulla RAL</t>
  </si>
  <si>
    <t xml:space="preserve">Magazziniere / mulettista</t>
  </si>
  <si>
    <t xml:space="preserve">Spesso fornito da cooperative</t>
  </si>
  <si>
    <t xml:space="preserve">Impiegato traffico / customer service</t>
  </si>
  <si>
    <t xml:space="preserve">Commerciale</t>
  </si>
  <si>
    <t xml:space="preserve">Pianifica i viaggi, parla con i clienti</t>
  </si>
  <si>
    <t xml:space="preserve">Capo turno magazzino</t>
  </si>
  <si>
    <t xml:space="preserve">Operazioni/Persone</t>
  </si>
  <si>
    <t xml:space="preserve">Il "vassallo" che governa un magazzino</t>
  </si>
  <si>
    <t xml:space="preserve">Direttore (consiglio di sede)</t>
  </si>
  <si>
    <t xml:space="preserve">Dipende dal ruolo</t>
  </si>
  <si>
    <t xml:space="preserve">Solo tramite head hunter o promozione</t>
  </si>
  <si>
    <t xml:space="preserve">2. Province del Nord-Ovest: coefficiente stipendi e bacino di candidati</t>
  </si>
  <si>
    <t xml:space="preserve">Coeff. stipendi</t>
  </si>
  <si>
    <t xml:space="preserve">Bacino candidati (1-5)</t>
  </si>
  <si>
    <t xml:space="preserve">Concorrenza (1-5)</t>
  </si>
  <si>
    <t xml:space="preserve">Polo logistico</t>
  </si>
  <si>
    <t xml:space="preserve">RAL autista CE in provincia (€)</t>
  </si>
  <si>
    <t xml:space="preserve">Milano Est, Pioltello</t>
  </si>
  <si>
    <t xml:space="preserve">Orbassano</t>
  </si>
  <si>
    <t xml:space="preserve">Porto, Voltri</t>
  </si>
  <si>
    <t xml:space="preserve">Orio al Serio</t>
  </si>
  <si>
    <t xml:space="preserve">Brescia Est</t>
  </si>
  <si>
    <t xml:space="preserve">CIM Novara</t>
  </si>
  <si>
    <t xml:space="preserve">Lodi, Casalpusterlengo</t>
  </si>
  <si>
    <t xml:space="preserve">Rivalta Scrivia</t>
  </si>
  <si>
    <t xml:space="preserve">Mortara</t>
  </si>
  <si>
    <t xml:space="preserve">Aosta</t>
  </si>
  <si>
    <t xml:space="preserve">3. Voci di welfare</t>
  </si>
  <si>
    <t xml:space="preserve">Voce</t>
  </si>
  <si>
    <t xml:space="preserve">Costo per dipendente (€/mese)</t>
  </si>
  <si>
    <t xml:space="preserve">Punti attrattività</t>
  </si>
  <si>
    <t xml:space="preserve">Effetto sul morale</t>
  </si>
  <si>
    <t xml:space="preserve">Disponibile dal</t>
  </si>
  <si>
    <t xml:space="preserve">Buoni pasto</t>
  </si>
  <si>
    <t xml:space="preserve">+5</t>
  </si>
  <si>
    <t xml:space="preserve">2002</t>
  </si>
  <si>
    <t xml:space="preserve">Mensa aziendale</t>
  </si>
  <si>
    <t xml:space="preserve">+4</t>
  </si>
  <si>
    <t xml:space="preserve">In più costo fisso di 1.500 €/mese per sito</t>
  </si>
  <si>
    <t xml:space="preserve">Assicurazione sanitaria integrativa</t>
  </si>
  <si>
    <t xml:space="preserve">Premio di produzione</t>
  </si>
  <si>
    <t xml:space="preserve">+6</t>
  </si>
  <si>
    <t xml:space="preserve">Legato ai KPI del magazzino</t>
  </si>
  <si>
    <t xml:space="preserve">Orari flessibili</t>
  </si>
  <si>
    <t xml:space="preserve">Costa 2% di produttività invece di denaro</t>
  </si>
  <si>
    <t xml:space="preserve">Formazione continua</t>
  </si>
  <si>
    <t xml:space="preserve">+3</t>
  </si>
  <si>
    <t xml:space="preserve">Aumenta anche l'esperienza</t>
  </si>
  <si>
    <t xml:space="preserve">Navetta dalla stazione</t>
  </si>
  <si>
    <t xml:space="preserve">+2</t>
  </si>
  <si>
    <t xml:space="preserve">Utile nei poli fuori città</t>
  </si>
  <si>
    <t xml:space="preserve">Asilo convenzionato</t>
  </si>
  <si>
    <t xml:space="preserve">2008</t>
  </si>
  <si>
    <t xml:space="preserve">Smart working (solo uffici)</t>
  </si>
  <si>
    <t xml:space="preserve">2020</t>
  </si>
  <si>
    <t xml:space="preserve">Solo impiegati e manager</t>
  </si>
  <si>
    <t xml:space="preserve">4. Canali di ricerca</t>
  </si>
  <si>
    <t xml:space="preserve">Canale</t>
  </si>
  <si>
    <t xml:space="preserve">Costo per assunzione (€)</t>
  </si>
  <si>
    <t xml:space="preserve">Tempo (giorni)</t>
  </si>
  <si>
    <t xml:space="preserve">Qualità media candidati (1-5)</t>
  </si>
  <si>
    <t xml:space="preserve">Ruoli</t>
  </si>
  <si>
    <t xml:space="preserve">Effetti collaterali</t>
  </si>
  <si>
    <t xml:space="preserve">Annuncio</t>
  </si>
  <si>
    <t xml:space="preserve">Tutti tranne direttori</t>
  </si>
  <si>
    <t xml:space="preserve">Qualità molto variabile</t>
  </si>
  <si>
    <t xml:space="preserve">Agenzia interinale</t>
  </si>
  <si>
    <t xml:space="preserve">Autisti, magazzinieri, impiegati</t>
  </si>
  <si>
    <t xml:space="preserve">Contratto temporaneo, costo orario +15%</t>
  </si>
  <si>
    <t xml:space="preserve">Cooperativa</t>
  </si>
  <si>
    <t xml:space="preserve">Costo orario -10%, morale -10, rischio vertenze</t>
  </si>
  <si>
    <t xml:space="preserve">Passaparola</t>
  </si>
  <si>
    <t xml:space="preserve">Funziona solo con morale aziendale sopra 60</t>
  </si>
  <si>
    <t xml:space="preserve">Head hunter</t>
  </si>
  <si>
    <t xml:space="preserve">Manager e direttori</t>
  </si>
  <si>
    <t xml:space="preserve">Porta personaggi con tratti rari</t>
  </si>
  <si>
    <t xml:space="preserve">5. Credibilità aziendale (0-100, partenza 50)</t>
  </si>
  <si>
    <t xml:space="preserve">Evento</t>
  </si>
  <si>
    <t xml:space="preserve">Effetto sulla credibilità</t>
  </si>
  <si>
    <t xml:space="preserve">Stipendi pagati puntuali per 12 mesi</t>
  </si>
  <si>
    <t xml:space="preserve">Apertura di un nuovo magazzino</t>
  </si>
  <si>
    <t xml:space="preserve">Segnale di crescita</t>
  </si>
  <si>
    <t xml:space="preserve">Premio o riconoscimento di settore</t>
  </si>
  <si>
    <t xml:space="preserve">Welfare migliore della media provinciale</t>
  </si>
  <si>
    <t xml:space="preserve">Ogni anno</t>
  </si>
  <si>
    <t xml:space="preserve">Ritardo nel pagamento degli stipendi</t>
  </si>
  <si>
    <t xml:space="preserve">Licenziamenti collettivi</t>
  </si>
  <si>
    <t xml:space="preserve">Dimezzato se ricollochi il personale</t>
  </si>
  <si>
    <t xml:space="preserve">Incidente grave sul lavoro</t>
  </si>
  <si>
    <t xml:space="preserve">Vertenza sindacale</t>
  </si>
  <si>
    <t xml:space="preserve">Recensione virale su LavoroBrutto.it</t>
  </si>
  <si>
    <t xml:space="preserve">Evento parodistico</t>
  </si>
  <si>
    <t xml:space="preserve">6. Calcolatore: un candidato accetta la nostra offerta?</t>
  </si>
  <si>
    <t xml:space="preserve">Stipendio offerto (RAL €)</t>
  </si>
  <si>
    <t xml:space="preserve">Voci di welfare attive: punti totali</t>
  </si>
  <si>
    <t xml:space="preserve">Esempio: buoni pasto + mensa + assicurazione. Cambia l'intervallo per provare altre combinazioni.</t>
  </si>
  <si>
    <t xml:space="preserve">Credibilità aziendale (0-100)</t>
  </si>
  <si>
    <t xml:space="preserve">Prospettive di crescita (0-10)</t>
  </si>
  <si>
    <t xml:space="preserve">Soglia del candidato (attrattività minima)</t>
  </si>
  <si>
    <t xml:space="preserve">RAL di mercato in provincia (€)</t>
  </si>
  <si>
    <t xml:space="preserve">Punti compenso</t>
  </si>
  <si>
    <t xml:space="preserve">Ogni 1% sopra il mercato = +2 punti (max ±30)</t>
  </si>
  <si>
    <t xml:space="preserve">Attrattività totale</t>
  </si>
  <si>
    <t xml:space="preserve">Formula: 30 base + compenso + welfare + (credibilità − 50) × 0,5 + prospettive</t>
  </si>
  <si>
    <t xml:space="preserve">Probabilità che accetti</t>
  </si>
  <si>
    <t xml:space="preserve">50% se l'attrattività è pari alla soglia; ogni 3 punti in più o in meno = ±10%</t>
  </si>
  <si>
    <t xml:space="preserve">Costo azienda annuo dell'assunzione (€)</t>
  </si>
  <si>
    <t xml:space="preserve">Investimenti in tecnologia</t>
  </si>
  <si>
    <t xml:space="preserve">Ricerca una volta a livello aziendale, poi installazione in ogni magazzino. Effetti in punti percentuali sui KPI del magazzino. Valori di partenza da bilanciare.</t>
  </si>
  <si>
    <t xml:space="preserve">Parametri</t>
  </si>
  <si>
    <t xml:space="preserve">Innovazione del Direttore Tecnologia (0-10)</t>
  </si>
  <si>
    <t xml:space="preserve">Riduzione tempi di ricerca per punto di Innovazione</t>
  </si>
  <si>
    <t xml:space="preserve">Rimborso Bando Fabbrica 4.0 (dal 2017)</t>
  </si>
  <si>
    <t xml:space="preserve">Maggiorazione del leasing sul costo totale</t>
  </si>
  <si>
    <t xml:space="preserve">Ramo</t>
  </si>
  <si>
    <t xml:space="preserve">Anno di sblocco</t>
  </si>
  <si>
    <t xml:space="preserve">Prerequisito</t>
  </si>
  <si>
    <t xml:space="preserve">Costo ricerca (€)</t>
  </si>
  <si>
    <t xml:space="preserve">Mesi di ricerca (base)</t>
  </si>
  <si>
    <t xml:space="preserve">Mesi di ricerca effettivi</t>
  </si>
  <si>
    <t xml:space="preserve">Installazione per sito (€)</t>
  </si>
  <si>
    <t xml:space="preserve">Canone mensile per sito (€)</t>
  </si>
  <si>
    <t xml:space="preserve">Costo primo anno per sito (€)</t>
  </si>
  <si>
    <t xml:space="preserve">Effetto puntualità (pp)</t>
  </si>
  <si>
    <t xml:space="preserve">Effetto accuratezza (pp)</t>
  </si>
  <si>
    <t xml:space="preserve">Settimane di apprendimento</t>
  </si>
  <si>
    <t xml:space="preserve">Informatizzazione</t>
  </si>
  <si>
    <t xml:space="preserve">Gestionale di base</t>
  </si>
  <si>
    <t xml:space="preserve">—</t>
  </si>
  <si>
    <t xml:space="preserve">WMS di base</t>
  </si>
  <si>
    <t xml:space="preserve">Errori di inventario dimezzati</t>
  </si>
  <si>
    <t xml:space="preserve">EDI con i clienti</t>
  </si>
  <si>
    <t xml:space="preserve">Richiesto da molti clienti della GDO</t>
  </si>
  <si>
    <t xml:space="preserve">WMS avanzato multi-sito</t>
  </si>
  <si>
    <t xml:space="preserve">Sposta merce tra magazzini</t>
  </si>
  <si>
    <t xml:space="preserve">Magazzino</t>
  </si>
  <si>
    <t xml:space="preserve">Lettori barcode</t>
  </si>
  <si>
    <t xml:space="preserve">Terminali in radiofrequenza</t>
  </si>
  <si>
    <t xml:space="preserve">Lettori barcode; WMS di base</t>
  </si>
  <si>
    <t xml:space="preserve">Pick-to-light</t>
  </si>
  <si>
    <t xml:space="preserve">Picking +15% più veloce</t>
  </si>
  <si>
    <t xml:space="preserve">Magazzino verticale automatico</t>
  </si>
  <si>
    <t xml:space="preserve">Capacità del sito +20%</t>
  </si>
  <si>
    <t xml:space="preserve">Robot mobili (AMR)</t>
  </si>
  <si>
    <t xml:space="preserve">Magazzinieri necessari -30%; tensione sindacale</t>
  </si>
  <si>
    <t xml:space="preserve">Trasporto</t>
  </si>
  <si>
    <t xml:space="preserve">Telematica GPS</t>
  </si>
  <si>
    <t xml:space="preserve">Mezzi visibili in tempo reale</t>
  </si>
  <si>
    <t xml:space="preserve">Pianificazione delle rotte</t>
  </si>
  <si>
    <t xml:space="preserve">Gasolio -5%</t>
  </si>
  <si>
    <t xml:space="preserve">Mezzi a metano liquido (LNG)</t>
  </si>
  <si>
    <t xml:space="preserve">Gasolio -20%, credibilità +3</t>
  </si>
  <si>
    <t xml:space="preserve">Furgoni elettrici urbani</t>
  </si>
  <si>
    <t xml:space="preserve">Accesso alle ZTL, credibilità +4</t>
  </si>
  <si>
    <t xml:space="preserve">Dati</t>
  </si>
  <si>
    <t xml:space="preserve">Cruscotto KPI</t>
  </si>
  <si>
    <t xml:space="preserve">Avvisi anticipati sui clienti a rischio</t>
  </si>
  <si>
    <t xml:space="preserve">Previsione dei volumi</t>
  </si>
  <si>
    <t xml:space="preserve">Cruscotto KPI; WMS avanzato multi-sito</t>
  </si>
  <si>
    <t xml:space="preserve">Meno straordinari nei picchi</t>
  </si>
  <si>
    <t xml:space="preserve">Ottimizzazione con IA</t>
  </si>
  <si>
    <t xml:space="preserve">Previsione dei volumi; Pianificazione delle rotte</t>
  </si>
  <si>
    <t xml:space="preserve">Persone e sicurezza</t>
  </si>
  <si>
    <t xml:space="preserve">Formazione strutturata</t>
  </si>
  <si>
    <t xml:space="preserve">Morale +3, incidenti -20%</t>
  </si>
  <si>
    <t xml:space="preserve">Sistemi anti-collisione muletti</t>
  </si>
  <si>
    <t xml:space="preserve">Incidenti -40%</t>
  </si>
  <si>
    <t xml:space="preserve">Esoscheletri</t>
  </si>
  <si>
    <t xml:space="preserve">Assenze per infortunio -25%, morale +3</t>
  </si>
  <si>
    <t xml:space="preserve">Durante le settimane di apprendimento il magazzino perde metà dell'effetto finale invece di guadagnarlo; formazione e morale alto le accorciano.</t>
  </si>
  <si>
    <t xml:space="preserve">Costo primo anno per sito = installazione (ridotta del rimborso del bando per le tecnologie dal 2017) + 12 canoni.</t>
  </si>
  <si>
    <t xml:space="preserve">Mesi di ricerca effettivi = mesi base × (1 − Innovazione × riduzione per punto), mai sotto il 40% del tempo base.</t>
  </si>
  <si>
    <t xml:space="preserve">Con il leasing l'installazione non si paga subito ma si spalma su 36 mesi, con la maggiorazione indicata nei parametri.</t>
  </si>
  <si>
    <t xml:space="preserve">Esempio leasing</t>
  </si>
  <si>
    <t xml:space="preserve">Rata mensile leasing su 36 mesi (€)</t>
  </si>
  <si>
    <t xml:space="preserve">Totale rate + canone per mese (€)</t>
  </si>
  <si>
    <t xml:space="preserve">Catalogo eventi</t>
  </si>
  <si>
    <t xml:space="preserve">Ogni riga è un evento. Effetti indicativi da bilanciare. "Scelta speciale" compare solo se un personaggio ha il talento o l'abilità indicati. Tono: Ironico / Serio.</t>
  </si>
  <si>
    <t xml:space="preserve">ID</t>
  </si>
  <si>
    <t xml:space="preserve">Categoria</t>
  </si>
  <si>
    <t xml:space="preserve">Fonte</t>
  </si>
  <si>
    <t xml:space="preserve">Titolo</t>
  </si>
  <si>
    <t xml:space="preserve">Testo</t>
  </si>
  <si>
    <t xml:space="preserve">Quando può accadere</t>
  </si>
  <si>
    <t xml:space="preserve">Dal</t>
  </si>
  <si>
    <t xml:space="preserve">Al</t>
  </si>
  <si>
    <t xml:space="preserve">Frequenza</t>
  </si>
  <si>
    <t xml:space="preserve">Scelta A</t>
  </si>
  <si>
    <t xml:space="preserve">Effetti A</t>
  </si>
  <si>
    <t xml:space="preserve">Scelta B</t>
  </si>
  <si>
    <t xml:space="preserve">Effetti B</t>
  </si>
  <si>
    <t xml:space="preserve">Scelta speciale</t>
  </si>
  <si>
    <t xml:space="preserve">Requisito</t>
  </si>
  <si>
    <t xml:space="preserve">Effetti speciale</t>
  </si>
  <si>
    <t xml:space="preserve">Tono</t>
  </si>
  <si>
    <t xml:space="preserve">Evento successivo</t>
  </si>
  <si>
    <t xml:space="preserve">MET-01</t>
  </si>
  <si>
    <t xml:space="preserve">Meteo e strade</t>
  </si>
  <si>
    <t xml:space="preserve">Radio Traffico Nord-Ovest</t>
  </si>
  <si>
    <t xml:space="preserve">Nebbia in Val Padana</t>
  </si>
  <si>
    <t xml:space="preserve">Visibilità sotto i 50 metri da Pavia a Brescia. Gli autisti chiedono di rallentare.</t>
  </si>
  <si>
    <t xml:space="preserve">Ottobre–febbraio; magazzino in Lombardia o Piemonte</t>
  </si>
  <si>
    <t xml:space="preserve">Comune</t>
  </si>
  <si>
    <t xml:space="preserve">Rallenta tutto</t>
  </si>
  <si>
    <t xml:space="preserve">Puntualità −6 pp per 7 giorni in Lombardia e Piemonte</t>
  </si>
  <si>
    <t xml:space="preserve">Si viaggia lo stesso</t>
  </si>
  <si>
    <t xml:space="preserve">Puntualità −2 pp; 15% di rischio incidente (−10 credibilità, mezzo fermo 30 giorni)</t>
  </si>
  <si>
    <t xml:space="preserve">"Conosco ogni curva"</t>
  </si>
  <si>
    <t xml:space="preserve">Talento: Un milione di km al volante</t>
  </si>
  <si>
    <t xml:space="preserve">Puntualità −1 pp, nessun rischio</t>
  </si>
  <si>
    <t xml:space="preserve">Ironico</t>
  </si>
  <si>
    <t xml:space="preserve">MET-02</t>
  </si>
  <si>
    <t xml:space="preserve">Neve al Traforo del Frejus</t>
  </si>
  <si>
    <t xml:space="preserve">Il traforo chiude per neve. Le consegne per Lione e Parigi sono ferme.</t>
  </si>
  <si>
    <t xml:space="preserve">Dicembre–marzo; flussi verso la Francia</t>
  </si>
  <si>
    <t xml:space="preserve">Devia dal Monte Bianco</t>
  </si>
  <si>
    <t xml:space="preserve">+450 € per viaggio, puntualità −3 pp sui flussi esteri</t>
  </si>
  <si>
    <t xml:space="preserve">Aspetta la riapertura</t>
  </si>
  <si>
    <t xml:space="preserve">Puntualità −12 pp sui flussi esteri per 3 giorni</t>
  </si>
  <si>
    <t xml:space="preserve">Prenota il treno (autostrada ferroviaria)</t>
  </si>
  <si>
    <t xml:space="preserve">Innovazione ≥ 12</t>
  </si>
  <si>
    <t xml:space="preserve">+200 € per viaggio, puntualità invariata</t>
  </si>
  <si>
    <t xml:space="preserve">MET-03</t>
  </si>
  <si>
    <t xml:space="preserve">Allerta rossa in Liguria</t>
  </si>
  <si>
    <t xml:space="preserve">Piogge fortissime: A10 e A6 a rischio chiusura, la Protezione Civile invita a non circolare.</t>
  </si>
  <si>
    <t xml:space="preserve">Settembre–novembre; magazzino in provincia di Genova</t>
  </si>
  <si>
    <t xml:space="preserve">Rara</t>
  </si>
  <si>
    <t xml:space="preserve">Chiudi il magazzino di Genova per 2 giorni</t>
  </si>
  <si>
    <t xml:space="preserve">Ricavi −2 giorni, morale +5, nessun rischio</t>
  </si>
  <si>
    <t xml:space="preserve">Resta aperto</t>
  </si>
  <si>
    <t xml:space="preserve">30% di rischio danni al magazzino (−40.000 €) e infortuni (−8 credibilità)</t>
  </si>
  <si>
    <t xml:space="preserve">Serio</t>
  </si>
  <si>
    <t xml:space="preserve">MET-03b Raccolta fondi per i comuni colpiti</t>
  </si>
  <si>
    <t xml:space="preserve">MET-04</t>
  </si>
  <si>
    <t xml:space="preserve">Afa record</t>
  </si>
  <si>
    <t xml:space="preserve">40 °C a Milano. I gruppi frigo vanno in crisi e in magazzino si respira a fatica.</t>
  </si>
  <si>
    <t xml:space="preserve">Luglio–agosto</t>
  </si>
  <si>
    <t xml:space="preserve">Compra ventilatori e acqua per tutti</t>
  </si>
  <si>
    <t xml:space="preserve">−3.000 €, morale +5</t>
  </si>
  <si>
    <t xml:space="preserve">Turni anticipati all'alba</t>
  </si>
  <si>
    <t xml:space="preserve">Produttività −5% per 10 giorni, morale invariato</t>
  </si>
  <si>
    <t xml:space="preserve">Pausa gelato offerta dal CEO</t>
  </si>
  <si>
    <t xml:space="preserve">Talento: Cena col buyer</t>
  </si>
  <si>
    <t xml:space="preserve">−800 €, morale +8, stress CEO −5</t>
  </si>
  <si>
    <t xml:space="preserve">MET-05</t>
  </si>
  <si>
    <t xml:space="preserve">La Gazzetta del Muletto</t>
  </si>
  <si>
    <t xml:space="preserve">Mucche sulla statale</t>
  </si>
  <si>
    <t xml:space="preserve">In Valle d'Aosta una mandria blocca un camion per tre ore. L'autista posta la foto: 40.000 condivisioni.</t>
  </si>
  <si>
    <t xml:space="preserve">Maggio–settembre; flussi verso Aosta</t>
  </si>
  <si>
    <t xml:space="preserve">Pubblica la foto sui canali aziendali</t>
  </si>
  <si>
    <t xml:space="preserve">Reputazione +3</t>
  </si>
  <si>
    <t xml:space="preserve">Lascia perdere</t>
  </si>
  <si>
    <t xml:space="preserve">Nessun effetto</t>
  </si>
  <si>
    <t xml:space="preserve">POL-01</t>
  </si>
  <si>
    <t xml:space="preserve">Politica e burocrazia</t>
  </si>
  <si>
    <t xml:space="preserve">Il Mattinale del Ministero</t>
  </si>
  <si>
    <t xml:space="preserve">ZTL "Zero Camion"</t>
  </si>
  <si>
    <t xml:space="preserve">Il nuovo assessore vieta i furgoni sotto Euro 4 nel centro di Milano dal mese prossimo.</t>
  </si>
  <si>
    <t xml:space="preserve">Dal 2008; flussi verso Milano città</t>
  </si>
  <si>
    <t xml:space="preserve">Rinnova i furgoni</t>
  </si>
  <si>
    <t xml:space="preserve">Costo dei nuovi mezzi; credibilità +3</t>
  </si>
  <si>
    <t xml:space="preserve">Ricorso al TAR</t>
  </si>
  <si>
    <t xml:space="preserve">−5.000 € di avvocati; 40% di vincere e rinviare il divieto di 1 anno</t>
  </si>
  <si>
    <t xml:space="preserve">Una telefonata in Comune</t>
  </si>
  <si>
    <t xml:space="preserve">Amministrazione ≥ 14</t>
  </si>
  <si>
    <t xml:space="preserve">Proroga di 6 mesi, ma l'assessore si ricorderà di te</t>
  </si>
  <si>
    <t xml:space="preserve">POL-01b L'assessore chiede un favore</t>
  </si>
  <si>
    <t xml:space="preserve">POL-02</t>
  </si>
  <si>
    <t xml:space="preserve">Decreto Semplificazione</t>
  </si>
  <si>
    <t xml:space="preserve">Un decreto di 340 pagine semplifica le pratiche di trasporto. Nessuno ha capito cosa cambi.</t>
  </si>
  <si>
    <t xml:space="preserve">Una volta ogni 2-3 anni</t>
  </si>
  <si>
    <t xml:space="preserve">Studiatelo con calma</t>
  </si>
  <si>
    <t xml:space="preserve">Amministrazione rallentata per 30 giorni (costi +3%)</t>
  </si>
  <si>
    <t xml:space="preserve">Assumi un consulente</t>
  </si>
  <si>
    <t xml:space="preserve">−6.000 €, nessun rallentamento</t>
  </si>
  <si>
    <t xml:space="preserve">"L'ho già letto stanotte"</t>
  </si>
  <si>
    <t xml:space="preserve">Talento: Excel-dipendente</t>
  </si>
  <si>
    <t xml:space="preserve">Nessun rallentamento, stress CEO +5</t>
  </si>
  <si>
    <t xml:space="preserve">POL-03</t>
  </si>
  <si>
    <t xml:space="preserve">Il Sole 24 Pallet</t>
  </si>
  <si>
    <t xml:space="preserve">Sciopero nazionale degli autotrasportatori</t>
  </si>
  <si>
    <t xml:space="preserve">Le associazioni di categoria fermano i camion per 5 giorni contro il caro gasolio.</t>
  </si>
  <si>
    <t xml:space="preserve">Prezzo del gasolio in forte aumento</t>
  </si>
  <si>
    <t xml:space="preserve">Aderisci</t>
  </si>
  <si>
    <t xml:space="preserve">Puntualità −20 pp per 5 giorni, morale +10, credibilità +3</t>
  </si>
  <si>
    <t xml:space="preserve">Lavora lo stesso</t>
  </si>
  <si>
    <t xml:space="preserve">Morale −8; 25% di blocchi ai caselli (mezzi fermi 2 giorni)</t>
  </si>
  <si>
    <t xml:space="preserve">Media tra sindacati e clienti</t>
  </si>
  <si>
    <t xml:space="preserve">Leadership ≥ 14</t>
  </si>
  <si>
    <t xml:space="preserve">Puntualità −8 pp, morale +5</t>
  </si>
  <si>
    <t xml:space="preserve">POL-04</t>
  </si>
  <si>
    <t xml:space="preserve">Bando Fabbrica 4.0</t>
  </si>
  <si>
    <t xml:space="preserve">Il bando rimborsa il 40% degli investimenti in tecnologia. La domanda è di 60 pagine.</t>
  </si>
  <si>
    <t xml:space="preserve">Dal 2017, una volta l'anno</t>
  </si>
  <si>
    <t xml:space="preserve">Partecipa</t>
  </si>
  <si>
    <t xml:space="preserve">3 impiegati occupati per 30 giorni; rimborso dopo 6-18 mesi</t>
  </si>
  <si>
    <t xml:space="preserve">Delegalo al Direttore Finanza</t>
  </si>
  <si>
    <t xml:space="preserve">Amministrazione ≥ 12 del Direttore Finanza</t>
  </si>
  <si>
    <t xml:space="preserve">Nessun impiegato occupato</t>
  </si>
  <si>
    <t xml:space="preserve">POL-04b Il rimborso arriva (forse)</t>
  </si>
  <si>
    <t xml:space="preserve">POL-05</t>
  </si>
  <si>
    <t xml:space="preserve">Elezioni comunali</t>
  </si>
  <si>
    <t xml:space="preserve">Entrambi i candidati sindaci ti chiedono un contributo per la campagna.</t>
  </si>
  <si>
    <t xml:space="preserve">Ogni 5 anni nelle province con un tuo magazzino</t>
  </si>
  <si>
    <t xml:space="preserve">Sostieni il candidato A</t>
  </si>
  <si>
    <t xml:space="preserve">−5.000 €; se vince, permessi più rapidi; se perde, controlli più frequenti</t>
  </si>
  <si>
    <t xml:space="preserve">Resta neutrale</t>
  </si>
  <si>
    <t xml:space="preserve">Sostieni entrambi</t>
  </si>
  <si>
    <t xml:space="preserve">Negoziazione ≥ 15</t>
  </si>
  <si>
    <t xml:space="preserve">−10.000 €, amico di chiunque vinca, 20% di scandalo (−8 reputazione)</t>
  </si>
  <si>
    <t xml:space="preserve">POL-06</t>
  </si>
  <si>
    <t xml:space="preserve">Controllo dell'Ispettorato del Lavoro</t>
  </si>
  <si>
    <t xml:space="preserve">Gli ispettori si presentano alle 7:00 in magazzino.</t>
  </si>
  <si>
    <t xml:space="preserve">Più probabile se usi cooperative</t>
  </si>
  <si>
    <t xml:space="preserve">Collabora</t>
  </si>
  <si>
    <t xml:space="preserve">Multa in base alle irregolarità (0-30.000 €)</t>
  </si>
  <si>
    <t xml:space="preserve">Chiedi un rinvio</t>
  </si>
  <si>
    <t xml:space="preserve">Multa +20%, credibilità −3</t>
  </si>
  <si>
    <t xml:space="preserve">"Abbiamo tutto in ordine"</t>
  </si>
  <si>
    <t xml:space="preserve">Precisione ≥ 14 del manager del magazzino</t>
  </si>
  <si>
    <t xml:space="preserve">Nessuna multa, credibilità +2</t>
  </si>
  <si>
    <t xml:space="preserve">LOC-01</t>
  </si>
  <si>
    <t xml:space="preserve">Vita locale</t>
  </si>
  <si>
    <t xml:space="preserve">Settimana della Moda</t>
  </si>
  <si>
    <t xml:space="preserve">A Milano arrivano buyer da tutto il mondo. I clienti della moda raddoppiano gli ordini.</t>
  </si>
  <si>
    <t xml:space="preserve">Febbraio e settembre; clienti del settore moda</t>
  </si>
  <si>
    <t xml:space="preserve">Straordinari per tutti</t>
  </si>
  <si>
    <t xml:space="preserve">Ricavi moda ×2 per 10 giorni, morale −5</t>
  </si>
  <si>
    <t xml:space="preserve">Usa i vettori esterni</t>
  </si>
  <si>
    <t xml:space="preserve">Ricavi moda ×2, margine −30%</t>
  </si>
  <si>
    <t xml:space="preserve">LOC-02</t>
  </si>
  <si>
    <t xml:space="preserve">Passa il Giro d'Italia</t>
  </si>
  <si>
    <t xml:space="preserve">Una tappa blocca due province per un giorno intero.</t>
  </si>
  <si>
    <t xml:space="preserve">Maggio</t>
  </si>
  <si>
    <t xml:space="preserve">Sponsorizza la tappa</t>
  </si>
  <si>
    <t xml:space="preserve">−15.000 €, reputazione +6</t>
  </si>
  <si>
    <t xml:space="preserve">Riorganizza le consegne</t>
  </si>
  <si>
    <t xml:space="preserve">Puntualità −5 pp per 1 giorno</t>
  </si>
  <si>
    <t xml:space="preserve">LOC-03</t>
  </si>
  <si>
    <t xml:space="preserve">Derby della Mole</t>
  </si>
  <si>
    <t xml:space="preserve">Metà dei magazzinieri di Torino chiede il pomeriggio libero per la partita.</t>
  </si>
  <si>
    <t xml:space="preserve">Magazzino in provincia di Torino</t>
  </si>
  <si>
    <t xml:space="preserve">Concedi il pomeriggio</t>
  </si>
  <si>
    <t xml:space="preserve">Produttività −40% per mezza giornata, morale +6</t>
  </si>
  <si>
    <t xml:space="preserve">Nega il permesso</t>
  </si>
  <si>
    <t xml:space="preserve">Morale −8; 30% di malattie improvvise</t>
  </si>
  <si>
    <t xml:space="preserve">Megaschermo in magazzino</t>
  </si>
  <si>
    <t xml:space="preserve">Leadership ≥ 12</t>
  </si>
  <si>
    <t xml:space="preserve">−1.500 €, morale +10, produttività −10% per mezza giornata</t>
  </si>
  <si>
    <t xml:space="preserve">LOC-04</t>
  </si>
  <si>
    <t xml:space="preserve">Il prete benedice i camion</t>
  </si>
  <si>
    <t xml:space="preserve">Il parroco propone la benedizione annuale della flotta.</t>
  </si>
  <si>
    <t xml:space="preserve">Magazzini fuori dalle grandi città</t>
  </si>
  <si>
    <t xml:space="preserve">Accetta e fai una donazione</t>
  </si>
  <si>
    <t xml:space="preserve">−500 €, morale +4, un autista ritira le dimissioni</t>
  </si>
  <si>
    <t xml:space="preserve">Rifiuta gentilmente</t>
  </si>
  <si>
    <t xml:space="preserve">Morale −2 tra gli autisti più anziani</t>
  </si>
  <si>
    <t xml:space="preserve">LOC-05</t>
  </si>
  <si>
    <t xml:space="preserve">Olimpiadi invernali di Torino</t>
  </si>
  <si>
    <t xml:space="preserve">Torino ospita le Olimpiadi: servono trasporti per impianti, atleti e merci.</t>
  </si>
  <si>
    <t xml:space="preserve">Gennaio 2006</t>
  </si>
  <si>
    <t xml:space="preserve">Datato</t>
  </si>
  <si>
    <t xml:space="preserve">Partecipa alla gara dei trasporti olimpici</t>
  </si>
  <si>
    <t xml:space="preserve">Gara speciale: contratto di 2 mesi molto redditizio</t>
  </si>
  <si>
    <t xml:space="preserve">Ignora</t>
  </si>
  <si>
    <t xml:space="preserve">Traffico +20% in provincia di Torino per 2 mesi</t>
  </si>
  <si>
    <t xml:space="preserve">LOC-06</t>
  </si>
  <si>
    <t xml:space="preserve">Expo Milano</t>
  </si>
  <si>
    <t xml:space="preserve">Sei mesi di esposizione universale: i cantieri e poi i padiglioni chiedono logistica.</t>
  </si>
  <si>
    <t xml:space="preserve">2014–2015</t>
  </si>
  <si>
    <t xml:space="preserve">Apri un presidio vicino a Rho</t>
  </si>
  <si>
    <t xml:space="preserve">Nuovo cliente temporaneo, reputazione +5</t>
  </si>
  <si>
    <t xml:space="preserve">Domanda in provincia di Milano +10% per 6 mesi</t>
  </si>
  <si>
    <t xml:space="preserve">PER-01</t>
  </si>
  <si>
    <t xml:space="preserve">Personale</t>
  </si>
  <si>
    <t xml:space="preserve">Vincita al Superenalotto</t>
  </si>
  <si>
    <t xml:space="preserve">Un magazziniere vince 2 milioni e si licenzia sul gruppo WhatsApp aziendale.</t>
  </si>
  <si>
    <t xml:space="preserve">Qualsiasi momento</t>
  </si>
  <si>
    <t xml:space="preserve">Fagli gli auguri</t>
  </si>
  <si>
    <t xml:space="preserve">Perdi un magazziniere esperto, morale +3</t>
  </si>
  <si>
    <t xml:space="preserve">Chiedigli un investimento</t>
  </si>
  <si>
    <t xml:space="preserve">30% di ottenere 100.000 € di prestito a tasso zero</t>
  </si>
  <si>
    <t xml:space="preserve">PER-02</t>
  </si>
  <si>
    <t xml:space="preserve">Il cane del manager</t>
  </si>
  <si>
    <t xml:space="preserve">Il manager di Novara porta in ufficio il suo bassotto, Ragù.</t>
  </si>
  <si>
    <t xml:space="preserve">Qualsiasi magazzino</t>
  </si>
  <si>
    <t xml:space="preserve">Permettilo</t>
  </si>
  <si>
    <t xml:space="preserve">Morale +5; 20% che qualcuno sia allergico (−3 morale amministrazione)</t>
  </si>
  <si>
    <t xml:space="preserve">Vietalo</t>
  </si>
  <si>
    <t xml:space="preserve">Opinione del manager −15</t>
  </si>
  <si>
    <t xml:space="preserve">PER-03</t>
  </si>
  <si>
    <t xml:space="preserve">Cena di Natale finita male</t>
  </si>
  <si>
    <t xml:space="preserve">Il Direttore Commerciale e il capo traffico hanno litigato sul karaoke.</t>
  </si>
  <si>
    <t xml:space="preserve">Dicembre</t>
  </si>
  <si>
    <t xml:space="preserve">Organizza un chiarimento</t>
  </si>
  <si>
    <t xml:space="preserve">Stress CEO +3, rapporto ristabilito</t>
  </si>
  <si>
    <t xml:space="preserve">Lascia che si arrangino</t>
  </si>
  <si>
    <t xml:space="preserve">Puntualità −2 pp per 2 mesi</t>
  </si>
  <si>
    <t xml:space="preserve">Brindisi di riconciliazione</t>
  </si>
  <si>
    <t xml:space="preserve">Opinione di entrambi verso il CEO +10</t>
  </si>
  <si>
    <t xml:space="preserve">PER-04</t>
  </si>
  <si>
    <t xml:space="preserve">L'autista influencer</t>
  </si>
  <si>
    <t xml:space="preserve">Un tuo autista ha 300.000 follower su TikTok con i video dalla cabina.</t>
  </si>
  <si>
    <t xml:space="preserve">Dal 2020</t>
  </si>
  <si>
    <t xml:space="preserve">Fallo testimonial</t>
  </si>
  <si>
    <t xml:space="preserve">Reputazione +6; 20% di video imbarazzante (−5)</t>
  </si>
  <si>
    <t xml:space="preserve">Chiedigli di smettere</t>
  </si>
  <si>
    <t xml:space="preserve">Opinione dell'autista −20, 40% che si licenzi</t>
  </si>
  <si>
    <t xml:space="preserve">PER-05</t>
  </si>
  <si>
    <t xml:space="preserve">Furto di gasolio</t>
  </si>
  <si>
    <t xml:space="preserve">Di notte qualcuno ha svuotato tre serbatoi nel piazzale.</t>
  </si>
  <si>
    <t xml:space="preserve">Magazzini senza sorveglianza</t>
  </si>
  <si>
    <t xml:space="preserve">Installa telecamere</t>
  </si>
  <si>
    <t xml:space="preserve">−8.000 €, furti futuri −80%</t>
  </si>
  <si>
    <t xml:space="preserve">Fidati del guardiano (74 anni)</t>
  </si>
  <si>
    <t xml:space="preserve">Altri furti possibili, morale +2</t>
  </si>
  <si>
    <t xml:space="preserve">PER-06</t>
  </si>
  <si>
    <t xml:space="preserve">Il gestionale si aggiorna da solo</t>
  </si>
  <si>
    <t xml:space="preserve">Venerdì sera il gestionale ha installato un aggiornamento. Lunedì nessuno stampa le bolle.</t>
  </si>
  <si>
    <t xml:space="preserve">Gestionale installato</t>
  </si>
  <si>
    <t xml:space="preserve">Chiama l'assistenza</t>
  </si>
  <si>
    <t xml:space="preserve">Accuratezza −4 pp per 2 giorni, −1.200 €</t>
  </si>
  <si>
    <t xml:space="preserve">Torna alle bolle a mano</t>
  </si>
  <si>
    <t xml:space="preserve">Accuratezza −8 pp per 2 giorni</t>
  </si>
  <si>
    <t xml:space="preserve">"Lo sistemo io"</t>
  </si>
  <si>
    <t xml:space="preserve">Innovazione ≥ 14</t>
  </si>
  <si>
    <t xml:space="preserve">Nessun effetto, stress +3</t>
  </si>
  <si>
    <t xml:space="preserve">CLI-01</t>
  </si>
  <si>
    <t xml:space="preserve">Clienti e mercato</t>
  </si>
  <si>
    <t xml:space="preserve">Cambio di buyer</t>
  </si>
  <si>
    <t xml:space="preserve">Esselonga ha un nuovo buyer: vuole rinegoziare tutto e adora i report in PowerPoint.</t>
  </si>
  <si>
    <t xml:space="preserve">Clienti della GDO</t>
  </si>
  <si>
    <t xml:space="preserve">Accetta la rinegoziazione</t>
  </si>
  <si>
    <t xml:space="preserve">Tariffa −4%, soddisfazione +10</t>
  </si>
  <si>
    <t xml:space="preserve">Difendi le condizioni</t>
  </si>
  <si>
    <t xml:space="preserve">30% di disdetta anticipata</t>
  </si>
  <si>
    <t xml:space="preserve">Presentazione da 80 slide</t>
  </si>
  <si>
    <t xml:space="preserve">Talento: Parla per acronimi</t>
  </si>
  <si>
    <t xml:space="preserve">Tariffa invariata, soddisfazione +5</t>
  </si>
  <si>
    <t xml:space="preserve">CLI-02</t>
  </si>
  <si>
    <t xml:space="preserve">Black Friday</t>
  </si>
  <si>
    <t xml:space="preserve">Gli ordini dei clienti dell'elettronica triplicano per una settimana.</t>
  </si>
  <si>
    <t xml:space="preserve">Fine novembre, dal 2015</t>
  </si>
  <si>
    <t xml:space="preserve">Straordinari</t>
  </si>
  <si>
    <t xml:space="preserve">Ricavi ×3, morale −8, accuratezza −3 pp</t>
  </si>
  <si>
    <t xml:space="preserve">Assumi interinali</t>
  </si>
  <si>
    <t xml:space="preserve">−6.000 €, accuratezza −5 pp</t>
  </si>
  <si>
    <t xml:space="preserve">CLI-03</t>
  </si>
  <si>
    <t xml:space="preserve">Matrimonio del figlio del cliente</t>
  </si>
  <si>
    <t xml:space="preserve">Il titolare del Pastificio Rummolo ti invita al matrimonio del figlio, a Benevento.</t>
  </si>
  <si>
    <t xml:space="preserve">Clienti con soddisfazione alta</t>
  </si>
  <si>
    <t xml:space="preserve">Vai con un regalo all'altezza</t>
  </si>
  <si>
    <t xml:space="preserve">−2.500 €, soddisfazione +15</t>
  </si>
  <si>
    <t xml:space="preserve">Manda un biglietto</t>
  </si>
  <si>
    <t xml:space="preserve">Soddisfazione −5</t>
  </si>
  <si>
    <t xml:space="preserve">CLI-04</t>
  </si>
  <si>
    <t xml:space="preserve">Un cliente fallisce</t>
  </si>
  <si>
    <t xml:space="preserve">Un tuo cliente porta i libri in tribunale. Le fatture degli ultimi 3 mesi non saranno pagate.</t>
  </si>
  <si>
    <t xml:space="preserve">Clienti con finanze deboli</t>
  </si>
  <si>
    <t xml:space="preserve">Insinuati nel fallimento</t>
  </si>
  <si>
    <t xml:space="preserve">Recuperi il 20% in 2 anni</t>
  </si>
  <si>
    <t xml:space="preserve">Vendi la merce rimasta in magazzino</t>
  </si>
  <si>
    <t xml:space="preserve">Recuperi il 40% subito, 20% di contestazioni legali</t>
  </si>
  <si>
    <t xml:space="preserve">CLI-05</t>
  </si>
  <si>
    <t xml:space="preserve">Ordine alle 17:58 di venerdì</t>
  </si>
  <si>
    <t xml:space="preserve">"Ci serve per lunedì alle 6, è vitale."</t>
  </si>
  <si>
    <t xml:space="preserve">Qualsiasi cliente</t>
  </si>
  <si>
    <t xml:space="preserve">Accetta</t>
  </si>
  <si>
    <t xml:space="preserve">Straordinari −2.000 €, morale −4, soddisfazione +8</t>
  </si>
  <si>
    <t xml:space="preserve">Rifiuta con cortesia</t>
  </si>
  <si>
    <t xml:space="preserve">Soddisfazione −6</t>
  </si>
  <si>
    <t xml:space="preserve">CLI-06</t>
  </si>
  <si>
    <t xml:space="preserve">Crisi finanziaria</t>
  </si>
  <si>
    <t xml:space="preserve">Le banche chiudono i rubinetti, i volumi calano in tutti i settori.</t>
  </si>
  <si>
    <t xml:space="preserve">Settembre 2008</t>
  </si>
  <si>
    <t xml:space="preserve">Taglia i costi</t>
  </si>
  <si>
    <t xml:space="preserve">Personale −10%, credibilità −10, cassa protetta</t>
  </si>
  <si>
    <t xml:space="preserve">Resisti senza licenziare</t>
  </si>
  <si>
    <t xml:space="preserve">Cassa sotto pressione per 18 mesi, credibilità +5</t>
  </si>
  <si>
    <t xml:space="preserve">CLI-07</t>
  </si>
  <si>
    <t xml:space="preserve">Pandemia e lockdown</t>
  </si>
  <si>
    <t xml:space="preserve">Il Paese si ferma. Alimentare, farmaceutico ed e-commerce esplodono, il resto crolla.</t>
  </si>
  <si>
    <t xml:space="preserve">Marzo 2020</t>
  </si>
  <si>
    <t xml:space="preserve">Proteggi il personale (dispositivi, turni)</t>
  </si>
  <si>
    <t xml:space="preserve">−20.000 €, morale +10, produttività −10%</t>
  </si>
  <si>
    <t xml:space="preserve">Massima produzione</t>
  </si>
  <si>
    <t xml:space="preserve">Produttività +10%, rischio contagi e assenze, credibilità −8</t>
  </si>
  <si>
    <t xml:space="preserve">CON-01</t>
  </si>
  <si>
    <t xml:space="preserve">Concorrenti</t>
  </si>
  <si>
    <t xml:space="preserve">Pranzo con Klaus Effizienz</t>
  </si>
  <si>
    <t xml:space="preserve">Il CEO di Logistix Global ti invita a pranzo: "Solo per conoscerci".</t>
  </si>
  <si>
    <t xml:space="preserve">Azienda in crescita</t>
  </si>
  <si>
    <t xml:space="preserve">Ascolta l'offerta</t>
  </si>
  <si>
    <t xml:space="preserve">Ricevi un'offerta di acquisto</t>
  </si>
  <si>
    <t xml:space="preserve">Declina</t>
  </si>
  <si>
    <t xml:space="preserve">Opinione di Logistix −10</t>
  </si>
  <si>
    <t xml:space="preserve">Bluffa su un accordo con un altro gruppo</t>
  </si>
  <si>
    <t xml:space="preserve">Negoziazione ≥ 16</t>
  </si>
  <si>
    <t xml:space="preserve">Logistix non attacca le tue province per 2 anni</t>
  </si>
  <si>
    <t xml:space="preserve">CON-01b L'offerta formale</t>
  </si>
  <si>
    <t xml:space="preserve">CON-02</t>
  </si>
  <si>
    <t xml:space="preserve">Lite dai Fratelli Brambilla</t>
  </si>
  <si>
    <t xml:space="preserve">I fratelli Brambilla litigano sull'eredità. Il minore ti offre i suoi clienti se lo assumi.</t>
  </si>
  <si>
    <t xml:space="preserve">Dopo la morte del fondatore dei Brambilla</t>
  </si>
  <si>
    <t xml:space="preserve">Assumilo come manager</t>
  </si>
  <si>
    <t xml:space="preserve">Nuovo manager (Negoziazione alta) e 2 clienti; opinione dei Brambilla −30</t>
  </si>
  <si>
    <t xml:space="preserve">Rifiuta</t>
  </si>
  <si>
    <t xml:space="preserve">Opinione dei Brambilla +10</t>
  </si>
  <si>
    <t xml:space="preserve">CON-03</t>
  </si>
  <si>
    <t xml:space="preserve">Consegne in 2 ore</t>
  </si>
  <si>
    <t xml:space="preserve">Spedisci.io lancia le consegne in 2 ore a Milano. Due tuoi clienti chiedono perché tu non lo fai.</t>
  </si>
  <si>
    <t xml:space="preserve">Dal 2014; clienti in provincia di Milano</t>
  </si>
  <si>
    <t xml:space="preserve">Avvia un progetto pilota</t>
  </si>
  <si>
    <t xml:space="preserve">−30.000 €, sblocca il servizio Express</t>
  </si>
  <si>
    <t xml:space="preserve">Spiega che non serve</t>
  </si>
  <si>
    <t xml:space="preserve">Soddisfazione −5 per 2 clienti</t>
  </si>
  <si>
    <t xml:space="preserve">Riepilogo</t>
  </si>
  <si>
    <t xml:space="preserve">Totale</t>
  </si>
  <si>
    <t xml:space="preserve">Simulazione: Gino Bertolotti a Rivalta Scrivia, 24 mesi</t>
  </si>
  <si>
    <t xml:space="preserve">Modello mensile semplificato. Cambia le celle in blu (parametri, clienti, mesi di investimento) e la simulazione si ricalcola. Mese di inizio 0 = cliente o tecnologia esclusi.</t>
  </si>
  <si>
    <t xml:space="preserve">Gino (CEO e manager di Rivalta)</t>
  </si>
  <si>
    <t xml:space="preserve">Cassa iniziale (€)</t>
  </si>
  <si>
    <t xml:space="preserve">Capienza magazzino (posti pallet)</t>
  </si>
  <si>
    <t xml:space="preserve">Tariffa stoccaggio (€/posto/mese)</t>
  </si>
  <si>
    <t xml:space="preserve">Tariffa movimentazione (€/pallet mosso)</t>
  </si>
  <si>
    <t xml:space="preserve">Allergico al gestionale (1 = sì)</t>
  </si>
  <si>
    <t xml:space="preserve">Tariffa distribuzione (€/pallet consegnato)</t>
  </si>
  <si>
    <t xml:space="preserve">RAL magazziniere (€)</t>
  </si>
  <si>
    <t xml:space="preserve">Tecnologie</t>
  </si>
  <si>
    <t xml:space="preserve">Mese di avvio</t>
  </si>
  <si>
    <t xml:space="preserve">Accuratezza (pp)</t>
  </si>
  <si>
    <t xml:space="preserve">Puntualità (pp)</t>
  </si>
  <si>
    <t xml:space="preserve">Costo una tantum (€)</t>
  </si>
  <si>
    <t xml:space="preserve">Canone (€/mese)</t>
  </si>
  <si>
    <t xml:space="preserve">RAL autista (€)</t>
  </si>
  <si>
    <t xml:space="preserve">RAL impiegato (€)</t>
  </si>
  <si>
    <t xml:space="preserve">Durante l'apprendimento la tecnologia toglie metà del suo effetto; "Allergico al gestionale" allunga l'apprendimento del 50%.</t>
  </si>
  <si>
    <t xml:space="preserve">Compenso CEO (€/mese)</t>
  </si>
  <si>
    <t xml:space="preserve">Immobile: manutenzione e utenze (€/mese)</t>
  </si>
  <si>
    <t xml:space="preserve">Clienti</t>
  </si>
  <si>
    <t xml:space="preserve">Spese varie (€/mese)</t>
  </si>
  <si>
    <t xml:space="preserve">Mese di inizio</t>
  </si>
  <si>
    <t xml:space="preserve">Stock medio (posti)</t>
  </si>
  <si>
    <t xml:space="preserve">Pallet consegnati/mese</t>
  </si>
  <si>
    <t xml:space="preserve">Soglia puntualità (%)</t>
  </si>
  <si>
    <t xml:space="preserve">Soglia accuratezza (%)</t>
  </si>
  <si>
    <t xml:space="preserve">Produttività magazziniere (pallet mossi/mese)</t>
  </si>
  <si>
    <t xml:space="preserve">Pallet per viaggio (motrice)</t>
  </si>
  <si>
    <t xml:space="preserve">Caseificio Galbanone</t>
  </si>
  <si>
    <t xml:space="preserve">Km per viaggio</t>
  </si>
  <si>
    <t xml:space="preserve">Ferramenta Bullonati</t>
  </si>
  <si>
    <t xml:space="preserve">Viaggi al mese per autista</t>
  </si>
  <si>
    <t xml:space="preserve">Prezzo gasolio (€/l)</t>
  </si>
  <si>
    <t xml:space="preserve">Soglia accuratezza vuota = KPI non richiesto. Esselonga è esclusa (mese 0): metti 4 per provare un contratto troppo grande.</t>
  </si>
  <si>
    <t xml:space="preserve">Consumo motrice (l/km)</t>
  </si>
  <si>
    <t xml:space="preserve">Soddisfazione: parte da 60; +3 al mese sopra soglia, −4 se sotto di 2 punti al massimo, −10 e penale del 5% se oltre. Sotto 25 il cliente se ne va.</t>
  </si>
  <si>
    <t xml:space="preserve">Pedaggi (€/km)</t>
  </si>
  <si>
    <t xml:space="preserve">Usura (€/km)</t>
  </si>
  <si>
    <t xml:space="preserve">Risultato</t>
  </si>
  <si>
    <t xml:space="preserve">Risultati delle prove (valori fissi, da 24 mesi di simulazione)</t>
  </si>
  <si>
    <t xml:space="preserve">Costi fissi per motrice (€/mese)</t>
  </si>
  <si>
    <t xml:space="preserve">Cassa minima (€)</t>
  </si>
  <si>
    <t xml:space="preserve">Prova</t>
  </si>
  <si>
    <t xml:space="preserve">Scelte</t>
  </si>
  <si>
    <t xml:space="preserve">Cassa a 24 mesi (€)</t>
  </si>
  <si>
    <t xml:space="preserve">Cassa sotto zero</t>
  </si>
  <si>
    <t xml:space="preserve">Clienti persi</t>
  </si>
  <si>
    <t xml:space="preserve">Leasing motrice aggiuntiva (€/mese)</t>
  </si>
  <si>
    <t xml:space="preserve">Cassa a fine simulazione (€)</t>
  </si>
  <si>
    <t xml:space="preserve">A</t>
  </si>
  <si>
    <t xml:space="preserve">Solo Rummolo, nessuna mossa</t>
  </si>
  <si>
    <t xml:space="preserve">mese 22</t>
  </si>
  <si>
    <t xml:space="preserve">Motrici di proprietà</t>
  </si>
  <si>
    <t xml:space="preserve">Mese in cui la cassa va sotto zero</t>
  </si>
  <si>
    <t xml:space="preserve">B</t>
  </si>
  <si>
    <t xml:space="preserve">Galbanone dal mese 4, Ferramenta dal 9, assunzioni in anticipo</t>
  </si>
  <si>
    <t xml:space="preserve">mai</t>
  </si>
  <si>
    <t xml:space="preserve">Galbanone, Ferramenta</t>
  </si>
  <si>
    <t xml:space="preserve">Pallet consegnati/mese per impiegato oltre i 2 minimi</t>
  </si>
  <si>
    <t xml:space="preserve">Utile medio degli ultimi 6 mesi (€/mese)</t>
  </si>
  <si>
    <t xml:space="preserve">C</t>
  </si>
  <si>
    <t xml:space="preserve">Come B, ma assunzioni in ritardo di un mese</t>
  </si>
  <si>
    <t xml:space="preserve">Magazzinieri minimi</t>
  </si>
  <si>
    <t xml:space="preserve">D</t>
  </si>
  <si>
    <t xml:space="preserve">Come B + barcode al mese 3 + WMS al mese 7</t>
  </si>
  <si>
    <t xml:space="preserve">Impiegati minimi</t>
  </si>
  <si>
    <t xml:space="preserve">D2</t>
  </si>
  <si>
    <t xml:space="preserve">Come B + solo barcode al mese 3 (impostazione attuale)</t>
  </si>
  <si>
    <t xml:space="preserve">Puntualità di base (%)</t>
  </si>
  <si>
    <t xml:space="preserve">E</t>
  </si>
  <si>
    <t xml:space="preserve">Rummolo + Esselonga dal mese 4</t>
  </si>
  <si>
    <t xml:space="preserve">Puntualità per punto di Operazioni sopra 10</t>
  </si>
  <si>
    <t xml:space="preserve">Accuratezza di base (%)</t>
  </si>
  <si>
    <t xml:space="preserve">Accuratezza per punto di Precisione sopra 10</t>
  </si>
  <si>
    <t xml:space="preserve">Assunzioni in ritardo di un mese (1 = sì, 0 = no)</t>
  </si>
  <si>
    <t xml:space="preserve">Mese</t>
  </si>
  <si>
    <t xml:space="preserve">Stock (posti)</t>
  </si>
  <si>
    <t xml:space="preserve">Pallet consegnati</t>
  </si>
  <si>
    <t xml:space="preserve">Pallet mossi</t>
  </si>
  <si>
    <t xml:space="preserve">Viaggi</t>
  </si>
  <si>
    <t xml:space="preserve">Magazzinieri necessari</t>
  </si>
  <si>
    <t xml:space="preserve">Autisti necessari</t>
  </si>
  <si>
    <t xml:space="preserve">Impiegati necessari</t>
  </si>
  <si>
    <t xml:space="preserve">Autisti</t>
  </si>
  <si>
    <t xml:space="preserve">Impiegati</t>
  </si>
  <si>
    <t xml:space="preserve">Produttività effettiva</t>
  </si>
  <si>
    <t xml:space="preserve">Carico magazzinieri</t>
  </si>
  <si>
    <t xml:space="preserve">Carico autisti</t>
  </si>
  <si>
    <t xml:space="preserve">Effetto tecn. accuratezza</t>
  </si>
  <si>
    <t xml:space="preserve">Effetto tecn. puntualità</t>
  </si>
  <si>
    <t xml:space="preserve">Costo tecnologie (€)</t>
  </si>
  <si>
    <t xml:space="preserve">Puntualità (%)</t>
  </si>
  <si>
    <t xml:space="preserve">Accuratezza (%)</t>
  </si>
  <si>
    <t xml:space="preserve">Morale</t>
  </si>
  <si>
    <t xml:space="preserve">Ricavi (€)</t>
  </si>
  <si>
    <t xml:space="preserve">Personale (€)</t>
  </si>
  <si>
    <t xml:space="preserve">Mezzi (€)</t>
  </si>
  <si>
    <t xml:space="preserve">Fissi (€)</t>
  </si>
  <si>
    <t xml:space="preserve">Penali (€)</t>
  </si>
  <si>
    <t xml:space="preserve">Utile (€)</t>
  </si>
  <si>
    <t xml:space="preserve">Cassa (€)</t>
  </si>
  <si>
    <t xml:space="preserve">Pastificio Rummolo – Attivo</t>
  </si>
  <si>
    <t xml:space="preserve">Pastificio Rummolo – Scarto peggiore (pp)</t>
  </si>
  <si>
    <t xml:space="preserve">Pastificio Rummolo – Soddisfazione</t>
  </si>
  <si>
    <t xml:space="preserve">Pastificio Rummolo – Perso</t>
  </si>
  <si>
    <t xml:space="preserve">Caseificio Galbanone – Attivo</t>
  </si>
  <si>
    <t xml:space="preserve">Caseificio Galbanone – Scarto peggiore (pp)</t>
  </si>
  <si>
    <t xml:space="preserve">Caseificio Galbanone – Soddisfazione</t>
  </si>
  <si>
    <t xml:space="preserve">Caseificio Galbanone – Perso</t>
  </si>
  <si>
    <t xml:space="preserve">Ferramenta Bullonati – Attivo</t>
  </si>
  <si>
    <t xml:space="preserve">Ferramenta Bullonati – Scarto peggiore (pp)</t>
  </si>
  <si>
    <t xml:space="preserve">Ferramenta Bullonati – Soddisfazione</t>
  </si>
  <si>
    <t xml:space="preserve">Ferramenta Bullonati – Perso</t>
  </si>
  <si>
    <t xml:space="preserve">Esselonga – Attivo</t>
  </si>
  <si>
    <t xml:space="preserve">Esselonga – Scarto peggiore (pp)</t>
  </si>
  <si>
    <t xml:space="preserve">Esselonga – Soddisfazione</t>
  </si>
  <si>
    <t xml:space="preserve">Esselonga – Perso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</si>
</sst>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0%"/>
    <numFmt numFmtId="167" formatCode="General"/>
    <numFmt numFmtId="168" formatCode="\+0;\-0;0"/>
    <numFmt numFmtId="169" formatCode="&quot;€ &quot;#,##0;&quot;-€ &quot;#,##0;\-"/>
    <numFmt numFmtId="170" formatCode="0"/>
    <numFmt numFmtId="171" formatCode="0.00"/>
    <numFmt numFmtId="172" formatCode="0.0"/>
    <numFmt numFmtId="173" formatCode="#,##0"/>
    <numFmt numFmtId="174" formatCode="&quot;€ &quot;0.00"/>
    <numFmt numFmtId="175" formatCode="\+0.0"/>
    <numFmt numFmtId="176" formatCode="&quot;€ &quot;#,##0;&quot;-€ &quot;#,##0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4A57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4A5768"/>
      <name val="Arial"/>
      <family val="0"/>
      <charset val="1"/>
    </font>
    <font>
      <b val="true"/>
      <sz val="11"/>
      <color rgb="FFC6282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202E"/>
        <bgColor rgb="FF003300"/>
      </patternFill>
    </fill>
    <fill>
      <patternFill patternType="solid">
        <fgColor rgb="FFFFF9E3"/>
        <bgColor rgb="FFFFFFFF"/>
      </patternFill>
    </fill>
    <fill>
      <patternFill patternType="solid">
        <fgColor rgb="FFDFE7EE"/>
        <bgColor rgb="FFDCEB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D0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name val="Arial"/>
        <charset val="1"/>
        <family val="0"/>
        <color rgb="FF16202E"/>
      </font>
      <fill>
        <patternFill>
          <bgColor rgb="FFD9F2DF"/>
        </patternFill>
      </fill>
    </dxf>
    <dxf>
      <font>
        <name val="Arial"/>
        <charset val="1"/>
        <family val="0"/>
        <color rgb="FF16202E"/>
      </font>
      <fill>
        <patternFill>
          <bgColor rgb="FFFFF0C2"/>
        </patternFill>
      </fill>
    </dxf>
    <dxf>
      <font>
        <name val="Arial"/>
        <charset val="1"/>
        <family val="0"/>
        <color rgb="FF16202E"/>
      </font>
      <fill>
        <patternFill>
          <bgColor rgb="FFF8D3D4"/>
        </patternFill>
      </fill>
    </dxf>
    <dxf>
      <font>
        <name val="Arial"/>
        <charset val="1"/>
        <family val="0"/>
        <color rgb="FF4A5768"/>
      </font>
      <fill>
        <patternFill>
          <bgColor rgb="FFEEF2F5"/>
        </patternFill>
      </fill>
    </dxf>
    <dxf>
      <fill>
        <patternFill patternType="solid">
          <fgColor rgb="FF1620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BFA"/>
          <bgColor rgb="FF000000"/>
        </patternFill>
      </fill>
    </dxf>
    <dxf>
      <fill>
        <patternFill patternType="solid">
          <fgColor rgb="FFFFF0C2"/>
          <bgColor rgb="FF000000"/>
        </patternFill>
      </fill>
    </dxf>
    <dxf>
      <fill>
        <patternFill patternType="solid">
          <fgColor rgb="FFF8D3D4"/>
          <bgColor rgb="FF000000"/>
        </patternFill>
      </fill>
    </dxf>
    <dxf>
      <fill>
        <patternFill>
          <bgColor rgb="FFF8D3D4"/>
        </patternFill>
      </fill>
    </dxf>
    <dxf>
      <fill>
        <patternFill>
          <bgColor rgb="FFDCEBFA"/>
        </patternFill>
      </fill>
    </dxf>
    <dxf>
      <fill>
        <patternFill>
          <bgColor rgb="FFFFF0C2"/>
        </patternFill>
      </fill>
    </dxf>
    <dxf>
      <font>
        <name val="Arial"/>
        <charset val="1"/>
        <family val="0"/>
        <b val="1"/>
        <color rgb="FFC62828"/>
      </font>
    </dxf>
    <dxf>
      <font>
        <name val="Arial"/>
        <charset val="1"/>
        <family val="0"/>
        <b val="1"/>
        <color rgb="FF23803A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FE7EE"/>
      <rgbColor rgb="FF808080"/>
      <rgbColor rgb="FF9999FF"/>
      <rgbColor rgb="FF993366"/>
      <rgbColor rgb="FFFFF9E3"/>
      <rgbColor rgb="FFDCEBFA"/>
      <rgbColor rgb="FF660066"/>
      <rgbColor rgb="FFFF8080"/>
      <rgbColor rgb="FF0066CC"/>
      <rgbColor rgb="FFC3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5"/>
      <rgbColor rgb="FFD9F2DF"/>
      <rgbColor rgb="FFFFF0C2"/>
      <rgbColor rgb="FF99CCFF"/>
      <rgbColor rgb="FFFF99CC"/>
      <rgbColor rgb="FFCC99FF"/>
      <rgbColor rgb="FFF8D3D4"/>
      <rgbColor rgb="FF3366FF"/>
      <rgbColor rgb="FF33CCCC"/>
      <rgbColor rgb="FF99CC00"/>
      <rgbColor rgb="FFFFCC00"/>
      <rgbColor rgb="FFFF9900"/>
      <rgbColor rgb="FFFF6600"/>
      <rgbColor rgb="FF4A5768"/>
      <rgbColor rgb="FF969696"/>
      <rgbColor rgb="FF003366"/>
      <rgbColor rgb="FF23803A"/>
      <rgbColor rgb="FF003300"/>
      <rgbColor rgb="FF333300"/>
      <rgbColor rgb="FFC62828"/>
      <rgbColor rgb="FF993366"/>
      <rgbColor rgb="FF333399"/>
      <rgbColor rgb="FF1620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2"/>
    <col collapsed="false" customWidth="true" hidden="false" outlineLevel="0" max="3" min="3" style="1" width="26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s">
        <v>7</v>
      </c>
      <c r="C5" s="7" t="s">
        <v>8</v>
      </c>
      <c r="D5" s="6" t="s">
        <v>9</v>
      </c>
    </row>
    <row r="6" customFormat="false" ht="15" hidden="false" customHeight="true" outlineLevel="0" collapsed="false">
      <c r="A6" s="5"/>
      <c r="B6" s="5"/>
      <c r="C6" s="7" t="s">
        <v>10</v>
      </c>
      <c r="D6" s="6" t="s">
        <v>11</v>
      </c>
    </row>
    <row r="7" customFormat="false" ht="15" hidden="false" customHeight="true" outlineLevel="0" collapsed="false">
      <c r="A7" s="5"/>
      <c r="B7" s="5"/>
      <c r="C7" s="7" t="s">
        <v>12</v>
      </c>
      <c r="D7" s="6" t="s">
        <v>13</v>
      </c>
    </row>
    <row r="8" customFormat="false" ht="15" hidden="false" customHeight="true" outlineLevel="0" collapsed="false">
      <c r="A8" s="5"/>
      <c r="B8" s="5"/>
      <c r="C8" s="7" t="s">
        <v>14</v>
      </c>
      <c r="D8" s="6" t="s">
        <v>15</v>
      </c>
    </row>
    <row r="9" customFormat="false" ht="15" hidden="false" customHeight="true" outlineLevel="0" collapsed="false">
      <c r="A9" s="5"/>
      <c r="B9" s="5"/>
      <c r="C9" s="7" t="s">
        <v>16</v>
      </c>
      <c r="D9" s="6" t="s">
        <v>17</v>
      </c>
    </row>
    <row r="10" customFormat="false" ht="15" hidden="false" customHeight="true" outlineLevel="0" collapsed="false">
      <c r="A10" s="5"/>
      <c r="B10" s="5"/>
      <c r="C10" s="7" t="s">
        <v>18</v>
      </c>
      <c r="D10" s="6" t="s">
        <v>19</v>
      </c>
    </row>
    <row r="11" customFormat="false" ht="15" hidden="false" customHeight="true" outlineLevel="0" collapsed="false">
      <c r="A11" s="5" t="s">
        <v>20</v>
      </c>
      <c r="B11" s="6" t="s">
        <v>21</v>
      </c>
      <c r="C11" s="7" t="s">
        <v>22</v>
      </c>
      <c r="D11" s="6" t="s">
        <v>23</v>
      </c>
    </row>
    <row r="12" customFormat="false" ht="15" hidden="false" customHeight="true" outlineLevel="0" collapsed="false">
      <c r="A12" s="5"/>
      <c r="B12" s="5"/>
      <c r="C12" s="7" t="s">
        <v>24</v>
      </c>
      <c r="D12" s="6" t="s">
        <v>25</v>
      </c>
    </row>
    <row r="13" customFormat="false" ht="15" hidden="false" customHeight="true" outlineLevel="0" collapsed="false">
      <c r="A13" s="5"/>
      <c r="B13" s="5"/>
      <c r="C13" s="7" t="s">
        <v>16</v>
      </c>
      <c r="D13" s="6" t="s">
        <v>26</v>
      </c>
    </row>
    <row r="14" customFormat="false" ht="15" hidden="false" customHeight="true" outlineLevel="0" collapsed="false">
      <c r="A14" s="5"/>
      <c r="B14" s="5"/>
      <c r="C14" s="7" t="s">
        <v>14</v>
      </c>
      <c r="D14" s="6" t="s">
        <v>27</v>
      </c>
    </row>
    <row r="15" customFormat="false" ht="15" hidden="false" customHeight="true" outlineLevel="0" collapsed="false">
      <c r="A15" s="5"/>
      <c r="B15" s="5"/>
      <c r="C15" s="7" t="s">
        <v>28</v>
      </c>
      <c r="D15" s="6" t="s">
        <v>29</v>
      </c>
    </row>
  </sheetData>
  <mergeCells count="4">
    <mergeCell ref="A5:A10"/>
    <mergeCell ref="B5:B10"/>
    <mergeCell ref="A11:A15"/>
    <mergeCell ref="B11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5" min="5" style="1" width="44"/>
    <col collapsed="false" customWidth="true" hidden="false" outlineLevel="0" max="7" min="6" style="1" width="16"/>
    <col collapsed="false" customWidth="true" hidden="false" outlineLevel="0" max="9" min="8" style="1" width="18"/>
    <col collapsed="false" customWidth="true" hidden="false" outlineLevel="0" max="10" min="10" style="1" width="22"/>
  </cols>
  <sheetData>
    <row r="1" customFormat="false" ht="17.25" hidden="false" customHeight="true" outlineLevel="0" collapsed="false">
      <c r="A1" s="2" t="s">
        <v>30</v>
      </c>
    </row>
    <row r="2" customFormat="false" ht="15" hidden="false" customHeight="true" outlineLevel="0" collapsed="false">
      <c r="A2" s="3" t="s">
        <v>31</v>
      </c>
    </row>
    <row r="4" customFormat="false" ht="31.5" hidden="false" customHeight="true" outlineLevel="0" collapsed="false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</row>
    <row r="5" customFormat="false" ht="15" hidden="false" customHeight="true" outlineLevel="0" collapsed="false">
      <c r="A5" s="8" t="s">
        <v>42</v>
      </c>
      <c r="B5" s="8" t="s">
        <v>43</v>
      </c>
      <c r="C5" s="9" t="n">
        <v>0.98</v>
      </c>
      <c r="D5" s="9" t="n">
        <v>0.95</v>
      </c>
      <c r="E5" s="6" t="s">
        <v>44</v>
      </c>
      <c r="F5" s="9" t="n">
        <v>0.975</v>
      </c>
      <c r="G5" s="9" t="n">
        <v>0.96</v>
      </c>
      <c r="H5" s="10" t="str">
        <f aca="false">IF(C5="","Non richiesto",IF(F5&gt;=C5,"Sopra soglia",IF(F5&gt;=C5-Regole!$B$4,"Leggermente sotto","Molto sotto")))</f>
        <v>Leggermente sotto</v>
      </c>
      <c r="I5" s="10" t="str">
        <f aca="false">IF(D5="","Non richiesto",IF(G5&gt;=D5,"Sopra soglia",IF(G5&gt;=D5-Regole!$B$4,"Leggermente sotto","Molto sotto")))</f>
        <v>Sopra soglia</v>
      </c>
      <c r="J5" s="7" t="str">
        <f aca="false">IF(OR(H5="Molto sotto",I5="Molto sotto"),"Rischio penali",IF(OR(H5="Leggermente sotto",I5="Leggermente sotto"),"Soddisfazione in calo","In regola"))</f>
        <v>Soddisfazione in calo</v>
      </c>
    </row>
    <row r="6" customFormat="false" ht="15" hidden="false" customHeight="true" outlineLevel="0" collapsed="false">
      <c r="A6" s="8" t="s">
        <v>45</v>
      </c>
      <c r="B6" s="8" t="s">
        <v>46</v>
      </c>
      <c r="C6" s="9" t="n">
        <v>0.9</v>
      </c>
      <c r="D6" s="9" t="n">
        <v>0.99</v>
      </c>
      <c r="E6" s="6" t="s">
        <v>47</v>
      </c>
      <c r="F6" s="9" t="n">
        <v>0.93</v>
      </c>
      <c r="G6" s="9" t="n">
        <v>0.955</v>
      </c>
      <c r="H6" s="10" t="str">
        <f aca="false">IF(C6="","Non richiesto",IF(F6&gt;=C6,"Sopra soglia",IF(F6&gt;=C6-Regole!$B$4,"Leggermente sotto","Molto sotto")))</f>
        <v>Sopra soglia</v>
      </c>
      <c r="I6" s="10" t="str">
        <f aca="false">IF(D6="","Non richiesto",IF(G6&gt;=D6,"Sopra soglia",IF(G6&gt;=D6-Regole!$B$4,"Leggermente sotto","Molto sotto")))</f>
        <v>Molto sotto</v>
      </c>
      <c r="J6" s="7" t="str">
        <f aca="false">IF(OR(H6="Molto sotto",I6="Molto sotto"),"Rischio penali",IF(OR(H6="Leggermente sotto",I6="Leggermente sotto"),"Soddisfazione in calo","In regola"))</f>
        <v>Rischio penali</v>
      </c>
    </row>
    <row r="7" customFormat="false" ht="15" hidden="false" customHeight="true" outlineLevel="0" collapsed="false">
      <c r="A7" s="8" t="s">
        <v>48</v>
      </c>
      <c r="B7" s="8" t="s">
        <v>49</v>
      </c>
      <c r="C7" s="9" t="n">
        <v>0.92</v>
      </c>
      <c r="D7" s="9"/>
      <c r="E7" s="6" t="s">
        <v>50</v>
      </c>
      <c r="F7" s="9" t="n">
        <v>0.95</v>
      </c>
      <c r="G7" s="9" t="n">
        <v>0.97</v>
      </c>
      <c r="H7" s="10" t="str">
        <f aca="false">IF(C7="","Non richiesto",IF(F7&gt;=C7,"Sopra soglia",IF(F7&gt;=C7-Regole!$B$4,"Leggermente sotto","Molto sotto")))</f>
        <v>Sopra soglia</v>
      </c>
      <c r="I7" s="10" t="str">
        <f aca="false">IF(D7="","Non richiesto",IF(G7&gt;=D7,"Sopra soglia",IF(G7&gt;=D7-Regole!$B$4,"Leggermente sotto","Molto sotto")))</f>
        <v>Non richiesto</v>
      </c>
      <c r="J7" s="7" t="str">
        <f aca="false">IF(OR(H7="Molto sotto",I7="Molto sotto"),"Rischio penali",IF(OR(H7="Leggermente sotto",I7="Leggermente sotto"),"Soddisfazione in calo","In regola"))</f>
        <v>In regola</v>
      </c>
    </row>
    <row r="8" customFormat="false" ht="15" hidden="false" customHeight="true" outlineLevel="0" collapsed="false">
      <c r="A8" s="8" t="s">
        <v>51</v>
      </c>
      <c r="B8" s="8" t="s">
        <v>52</v>
      </c>
      <c r="C8" s="9" t="n">
        <v>0.97</v>
      </c>
      <c r="D8" s="9" t="n">
        <v>0.995</v>
      </c>
      <c r="E8" s="6" t="s">
        <v>53</v>
      </c>
      <c r="F8" s="9" t="n">
        <v>0.97</v>
      </c>
      <c r="G8" s="9" t="n">
        <v>0.99</v>
      </c>
      <c r="H8" s="10" t="str">
        <f aca="false">IF(C8="","Non richiesto",IF(F8&gt;=C8,"Sopra soglia",IF(F8&gt;=C8-Regole!$B$4,"Leggermente sotto","Molto sotto")))</f>
        <v>Sopra soglia</v>
      </c>
      <c r="I8" s="10" t="str">
        <f aca="false">IF(D8="","Non richiesto",IF(G8&gt;=D8,"Sopra soglia",IF(G8&gt;=D8-Regole!$B$4,"Leggermente sotto","Molto sotto")))</f>
        <v>Leggermente sotto</v>
      </c>
      <c r="J8" s="7" t="str">
        <f aca="false">IF(OR(H8="Molto sotto",I8="Molto sotto"),"Rischio penali",IF(OR(H8="Leggermente sotto",I8="Leggermente sotto"),"Soddisfazione in calo","In regola"))</f>
        <v>Soddisfazione in calo</v>
      </c>
    </row>
  </sheetData>
  <conditionalFormatting sqref="H5:J20">
    <cfRule type="expression" priority="2" aboveAverage="0" equalAverage="0" bottom="0" percent="0" rank="0" text="" dxfId="0">
      <formula>ISNUMBER(SEARCH("Sopra",H5))</formula>
    </cfRule>
    <cfRule type="expression" priority="3" aboveAverage="0" equalAverage="0" bottom="0" percent="0" rank="0" text="" dxfId="0">
      <formula>ISNUMBER(SEARCH("In regola",H5))</formula>
    </cfRule>
    <cfRule type="expression" priority="4" aboveAverage="0" equalAverage="0" bottom="0" percent="0" rank="0" text="" dxfId="1">
      <formula>ISNUMBER(SEARCH("Leggermente",H5))</formula>
    </cfRule>
    <cfRule type="expression" priority="5" aboveAverage="0" equalAverage="0" bottom="0" percent="0" rank="0" text="" dxfId="1">
      <formula>ISNUMBER(SEARCH("calo",H5))</formula>
    </cfRule>
    <cfRule type="expression" priority="6" aboveAverage="0" equalAverage="0" bottom="0" percent="0" rank="0" text="" dxfId="2">
      <formula>ISNUMBER(SEARCH("Molto",H5))</formula>
    </cfRule>
    <cfRule type="expression" priority="7" aboveAverage="0" equalAverage="0" bottom="0" percent="0" rank="0" text="" dxfId="2">
      <formula>ISNUMBER(SEARCH("penali",H5))</formula>
    </cfRule>
    <cfRule type="expression" priority="8" aboveAverage="0" equalAverage="0" bottom="0" percent="0" rank="0" text="" dxfId="3">
      <formula>ISNUMBER(SEARCH("Non richiesto",H5))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2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54</v>
      </c>
    </row>
    <row r="3" customFormat="false" ht="15" hidden="false" customHeight="true" outlineLevel="0" collapsed="false">
      <c r="A3" s="4" t="s">
        <v>55</v>
      </c>
      <c r="B3" s="4" t="s">
        <v>56</v>
      </c>
      <c r="C3" s="4" t="s">
        <v>57</v>
      </c>
    </row>
    <row r="4" customFormat="false" ht="26.25" hidden="false" customHeight="true" outlineLevel="0" collapsed="false">
      <c r="A4" s="11" t="s">
        <v>58</v>
      </c>
      <c r="B4" s="12" t="n">
        <v>0.02</v>
      </c>
      <c r="C4" s="13" t="s">
        <v>59</v>
      </c>
    </row>
    <row r="5" customFormat="false" ht="15" hidden="false" customHeight="true" outlineLevel="0" collapsed="false">
      <c r="A5" s="11" t="s">
        <v>60</v>
      </c>
      <c r="B5" s="14" t="n">
        <v>0.85</v>
      </c>
      <c r="C5" s="13" t="s">
        <v>61</v>
      </c>
    </row>
    <row r="7" customFormat="false" ht="15" hidden="false" customHeight="true" outlineLevel="0" collapsed="false">
      <c r="A7" s="4" t="s">
        <v>62</v>
      </c>
      <c r="B7" s="4" t="s">
        <v>63</v>
      </c>
      <c r="C7" s="4"/>
    </row>
    <row r="8" customFormat="false" ht="15" hidden="false" customHeight="true" outlineLevel="0" collapsed="false">
      <c r="A8" s="15" t="s">
        <v>64</v>
      </c>
      <c r="B8" s="16" t="s">
        <v>65</v>
      </c>
      <c r="C8" s="16"/>
    </row>
    <row r="9" customFormat="false" ht="15" hidden="false" customHeight="true" outlineLevel="0" collapsed="false">
      <c r="A9" s="15" t="s">
        <v>66</v>
      </c>
      <c r="B9" s="16" t="s">
        <v>67</v>
      </c>
      <c r="C9" s="16"/>
    </row>
    <row r="10" customFormat="false" ht="15" hidden="false" customHeight="true" outlineLevel="0" collapsed="false">
      <c r="A10" s="15" t="s">
        <v>68</v>
      </c>
      <c r="B10" s="16" t="s">
        <v>69</v>
      </c>
      <c r="C10" s="16"/>
    </row>
    <row r="11" customFormat="false" ht="15" hidden="false" customHeight="true" outlineLevel="0" collapsed="false">
      <c r="A11" s="15" t="s">
        <v>70</v>
      </c>
      <c r="B11" s="16" t="s">
        <v>71</v>
      </c>
      <c r="C11" s="16"/>
    </row>
  </sheetData>
  <mergeCells count="4">
    <mergeCell ref="B8:C8"/>
    <mergeCell ref="B9:C9"/>
    <mergeCell ref="B10:C10"/>
    <mergeCell ref="B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7" min="6" style="1" width="24"/>
    <col collapsed="false" customWidth="true" hidden="false" outlineLevel="0" max="8" min="8" style="1" width="22"/>
    <col collapsed="false" customWidth="true" hidden="false" outlineLevel="0" max="21" min="9" style="1" width="11"/>
    <col collapsed="false" customWidth="true" hidden="false" outlineLevel="0" max="22" min="22" style="1" width="70"/>
  </cols>
  <sheetData>
    <row r="1" customFormat="false" ht="17.25" hidden="false" customHeight="true" outlineLevel="0" collapsed="false">
      <c r="A1" s="2" t="s">
        <v>72</v>
      </c>
    </row>
    <row r="2" customFormat="false" ht="15" hidden="false" customHeight="true" outlineLevel="0" collapsed="false">
      <c r="A2" s="3" t="s">
        <v>73</v>
      </c>
    </row>
    <row r="4" customFormat="false" ht="33.75" hidden="false" customHeight="true" outlineLevel="0" collapsed="false">
      <c r="A4" s="17" t="s">
        <v>74</v>
      </c>
      <c r="B4" s="18" t="s">
        <v>75</v>
      </c>
      <c r="C4" s="18" t="s">
        <v>76</v>
      </c>
      <c r="D4" s="18" t="s">
        <v>77</v>
      </c>
      <c r="E4" s="18" t="s">
        <v>78</v>
      </c>
      <c r="F4" s="18" t="s">
        <v>79</v>
      </c>
      <c r="G4" s="18" t="s">
        <v>80</v>
      </c>
      <c r="H4" s="18" t="s">
        <v>81</v>
      </c>
      <c r="I4" s="18" t="s">
        <v>82</v>
      </c>
      <c r="J4" s="18" t="s">
        <v>83</v>
      </c>
      <c r="K4" s="18" t="s">
        <v>84</v>
      </c>
      <c r="L4" s="18" t="s">
        <v>85</v>
      </c>
      <c r="M4" s="18" t="s">
        <v>86</v>
      </c>
      <c r="N4" s="18" t="s">
        <v>87</v>
      </c>
      <c r="O4" s="18" t="s">
        <v>88</v>
      </c>
      <c r="P4" s="18" t="s">
        <v>89</v>
      </c>
      <c r="Q4" s="18" t="s">
        <v>90</v>
      </c>
      <c r="R4" s="18" t="s">
        <v>91</v>
      </c>
      <c r="S4" s="18" t="s">
        <v>92</v>
      </c>
      <c r="T4" s="18" t="s">
        <v>93</v>
      </c>
      <c r="U4" s="18" t="s">
        <v>94</v>
      </c>
      <c r="V4" s="18" t="s">
        <v>95</v>
      </c>
    </row>
    <row r="5" customFormat="false" ht="39" hidden="false" customHeight="true" outlineLevel="0" collapsed="false">
      <c r="A5" s="5" t="s">
        <v>96</v>
      </c>
      <c r="B5" s="6" t="n">
        <v>52</v>
      </c>
      <c r="C5" s="6" t="s">
        <v>97</v>
      </c>
      <c r="D5" s="6" t="s">
        <v>98</v>
      </c>
      <c r="E5" s="6" t="s">
        <v>99</v>
      </c>
      <c r="F5" s="19" t="s">
        <v>100</v>
      </c>
      <c r="G5" s="19" t="s">
        <v>101</v>
      </c>
      <c r="H5" s="19" t="s">
        <v>102</v>
      </c>
      <c r="I5" s="20" t="n">
        <v>13</v>
      </c>
      <c r="J5" s="20" t="n">
        <v>9</v>
      </c>
      <c r="K5" s="20" t="n">
        <v>7</v>
      </c>
      <c r="L5" s="20" t="n">
        <v>11</v>
      </c>
      <c r="M5" s="20" t="n">
        <v>6</v>
      </c>
      <c r="N5" s="20" t="n">
        <v>8</v>
      </c>
      <c r="O5" s="21" t="n">
        <f aca="false">MAX(0,MIN(20,I5+IFERROR(INDEX(Talenti!$B$5:$B$24,MATCH(F5,Talenti!$A$5:$A$24,0)),0)+IFERROR(INDEX(Talenti!$B$5:$B$24,MATCH(G5,Talenti!$A$5:$A$24,0)),0)+IFERROR(INDEX(Talenti!$B$5:$B$24,MATCH(H5,Talenti!$A$5:$A$24,0)),0)))</f>
        <v>17</v>
      </c>
      <c r="P5" s="21" t="n">
        <f aca="false">MAX(0,MIN(20,J5+IFERROR(INDEX(Talenti!$C$5:$C$24,MATCH(F5,Talenti!$A$5:$A$24,0)),0)+IFERROR(INDEX(Talenti!$C$5:$C$24,MATCH(G5,Talenti!$A$5:$A$24,0)),0)+IFERROR(INDEX(Talenti!$C$5:$C$24,MATCH(H5,Talenti!$A$5:$A$24,0)),0)))</f>
        <v>9</v>
      </c>
      <c r="Q5" s="21" t="n">
        <f aca="false">MAX(0,MIN(20,K5+IFERROR(INDEX(Talenti!$D$5:$D$24,MATCH(F5,Talenti!$A$5:$A$24,0)),0)+IFERROR(INDEX(Talenti!$D$5:$D$24,MATCH(G5,Talenti!$A$5:$A$24,0)),0)+IFERROR(INDEX(Talenti!$D$5:$D$24,MATCH(H5,Talenti!$A$5:$A$24,0)),0)))</f>
        <v>5</v>
      </c>
      <c r="R5" s="21" t="n">
        <f aca="false">MAX(0,MIN(20,L5+IFERROR(INDEX(Talenti!$E$5:$E$24,MATCH(F5,Talenti!$A$5:$A$24,0)),0)+IFERROR(INDEX(Talenti!$E$5:$E$24,MATCH(G5,Talenti!$A$5:$A$24,0)),0)+IFERROR(INDEX(Talenti!$E$5:$E$24,MATCH(H5,Talenti!$A$5:$A$24,0)),0)))</f>
        <v>14</v>
      </c>
      <c r="S5" s="21" t="n">
        <f aca="false">MAX(0,MIN(20,M5+IFERROR(INDEX(Talenti!$F$5:$F$24,MATCH(F5,Talenti!$A$5:$A$24,0)),0)+IFERROR(INDEX(Talenti!$F$5:$F$24,MATCH(G5,Talenti!$A$5:$A$24,0)),0)+IFERROR(INDEX(Talenti!$F$5:$F$24,MATCH(H5,Talenti!$A$5:$A$24,0)),0)))</f>
        <v>6</v>
      </c>
      <c r="T5" s="21" t="n">
        <f aca="false">MAX(0,MIN(20,N5+IFERROR(INDEX(Talenti!$G$5:$G$24,MATCH(F5,Talenti!$A$5:$A$24,0)),0)+IFERROR(INDEX(Talenti!$G$5:$G$24,MATCH(G5,Talenti!$A$5:$A$24,0)),0)+IFERROR(INDEX(Talenti!$G$5:$G$24,MATCH(H5,Talenti!$A$5:$A$24,0)),0)))</f>
        <v>2</v>
      </c>
      <c r="U5" s="22" t="n">
        <f aca="false">50+IFERROR(INDEX(Talenti!$H$5:$H$24,MATCH(F5,Talenti!$A$5:$A$24,0)),0)+IFERROR(INDEX(Talenti!$H$5:$H$24,MATCH(G5,Talenti!$A$5:$A$24,0)),0)+IFERROR(INDEX(Talenti!$H$5:$H$24,MATCH(H5,Talenti!$A$5:$A$24,0)),0)</f>
        <v>50</v>
      </c>
      <c r="V5" s="6" t="s">
        <v>103</v>
      </c>
    </row>
    <row r="6" customFormat="false" ht="26.25" hidden="false" customHeight="true" outlineLevel="0" collapsed="false">
      <c r="A6" s="5" t="s">
        <v>104</v>
      </c>
      <c r="B6" s="6" t="n">
        <v>31</v>
      </c>
      <c r="C6" s="6" t="s">
        <v>97</v>
      </c>
      <c r="D6" s="6" t="s">
        <v>105</v>
      </c>
      <c r="E6" s="6" t="s">
        <v>106</v>
      </c>
      <c r="F6" s="19" t="s">
        <v>107</v>
      </c>
      <c r="G6" s="19" t="s">
        <v>108</v>
      </c>
      <c r="H6" s="19" t="s">
        <v>109</v>
      </c>
      <c r="I6" s="20" t="n">
        <v>7</v>
      </c>
      <c r="J6" s="20" t="n">
        <v>8</v>
      </c>
      <c r="K6" s="20" t="n">
        <v>10</v>
      </c>
      <c r="L6" s="20" t="n">
        <v>8</v>
      </c>
      <c r="M6" s="20" t="n">
        <v>9</v>
      </c>
      <c r="N6" s="20" t="n">
        <v>10</v>
      </c>
      <c r="O6" s="21" t="n">
        <f aca="false">MAX(0,MIN(20,I6+IFERROR(INDEX(Talenti!$B$5:$B$24,MATCH(F6,Talenti!$A$5:$A$24,0)),0)+IFERROR(INDEX(Talenti!$B$5:$B$24,MATCH(G6,Talenti!$A$5:$A$24,0)),0)+IFERROR(INDEX(Talenti!$B$5:$B$24,MATCH(H6,Talenti!$A$5:$A$24,0)),0)))</f>
        <v>6</v>
      </c>
      <c r="P6" s="21" t="n">
        <f aca="false">MAX(0,MIN(20,J6+IFERROR(INDEX(Talenti!$C$5:$C$24,MATCH(F6,Talenti!$A$5:$A$24,0)),0)+IFERROR(INDEX(Talenti!$C$5:$C$24,MATCH(G6,Talenti!$A$5:$A$24,0)),0)+IFERROR(INDEX(Talenti!$C$5:$C$24,MATCH(H6,Talenti!$A$5:$A$24,0)),0)))</f>
        <v>7</v>
      </c>
      <c r="Q6" s="21" t="n">
        <f aca="false">MAX(0,MIN(20,K6+IFERROR(INDEX(Talenti!$D$5:$D$24,MATCH(F6,Talenti!$A$5:$A$24,0)),0)+IFERROR(INDEX(Talenti!$D$5:$D$24,MATCH(G6,Talenti!$A$5:$A$24,0)),0)+IFERROR(INDEX(Talenti!$D$5:$D$24,MATCH(H6,Talenti!$A$5:$A$24,0)),0)))</f>
        <v>13</v>
      </c>
      <c r="R6" s="21" t="n">
        <f aca="false">MAX(0,MIN(20,L6+IFERROR(INDEX(Talenti!$E$5:$E$24,MATCH(F6,Talenti!$A$5:$A$24,0)),0)+IFERROR(INDEX(Talenti!$E$5:$E$24,MATCH(G6,Talenti!$A$5:$A$24,0)),0)+IFERROR(INDEX(Talenti!$E$5:$E$24,MATCH(H6,Talenti!$A$5:$A$24,0)),0)))</f>
        <v>6</v>
      </c>
      <c r="S6" s="21" t="n">
        <f aca="false">MAX(0,MIN(20,M6+IFERROR(INDEX(Talenti!$F$5:$F$24,MATCH(F6,Talenti!$A$5:$A$24,0)),0)+IFERROR(INDEX(Talenti!$F$5:$F$24,MATCH(G6,Talenti!$A$5:$A$24,0)),0)+IFERROR(INDEX(Talenti!$F$5:$F$24,MATCH(H6,Talenti!$A$5:$A$24,0)),0)))</f>
        <v>12</v>
      </c>
      <c r="T6" s="21" t="n">
        <f aca="false">MAX(0,MIN(20,N6+IFERROR(INDEX(Talenti!$G$5:$G$24,MATCH(F6,Talenti!$A$5:$A$24,0)),0)+IFERROR(INDEX(Talenti!$G$5:$G$24,MATCH(G6,Talenti!$A$5:$A$24,0)),0)+IFERROR(INDEX(Talenti!$G$5:$G$24,MATCH(H6,Talenti!$A$5:$A$24,0)),0)))</f>
        <v>10</v>
      </c>
      <c r="U6" s="22" t="n">
        <f aca="false">50+IFERROR(INDEX(Talenti!$H$5:$H$24,MATCH(F6,Talenti!$A$5:$A$24,0)),0)+IFERROR(INDEX(Talenti!$H$5:$H$24,MATCH(G6,Talenti!$A$5:$A$24,0)),0)+IFERROR(INDEX(Talenti!$H$5:$H$24,MATCH(H6,Talenti!$A$5:$A$24,0)),0)</f>
        <v>40</v>
      </c>
      <c r="V6" s="6" t="s">
        <v>110</v>
      </c>
    </row>
    <row r="7" customFormat="false" ht="39" hidden="false" customHeight="true" outlineLevel="0" collapsed="false">
      <c r="A7" s="5" t="s">
        <v>111</v>
      </c>
      <c r="B7" s="6" t="n">
        <v>44</v>
      </c>
      <c r="C7" s="6" t="s">
        <v>97</v>
      </c>
      <c r="D7" s="6" t="s">
        <v>112</v>
      </c>
      <c r="E7" s="6" t="s">
        <v>113</v>
      </c>
      <c r="F7" s="19" t="s">
        <v>114</v>
      </c>
      <c r="G7" s="19" t="s">
        <v>115</v>
      </c>
      <c r="H7" s="19" t="s">
        <v>116</v>
      </c>
      <c r="I7" s="20" t="n">
        <v>11</v>
      </c>
      <c r="J7" s="20" t="n">
        <v>10</v>
      </c>
      <c r="K7" s="20" t="n">
        <v>12</v>
      </c>
      <c r="L7" s="20" t="n">
        <v>8</v>
      </c>
      <c r="M7" s="20" t="n">
        <v>10</v>
      </c>
      <c r="N7" s="20" t="n">
        <v>9</v>
      </c>
      <c r="O7" s="21" t="n">
        <f aca="false">MAX(0,MIN(20,I7+IFERROR(INDEX(Talenti!$B$5:$B$24,MATCH(F7,Talenti!$A$5:$A$24,0)),0)+IFERROR(INDEX(Talenti!$B$5:$B$24,MATCH(G7,Talenti!$A$5:$A$24,0)),0)+IFERROR(INDEX(Talenti!$B$5:$B$24,MATCH(H7,Talenti!$A$5:$A$24,0)),0)))</f>
        <v>13</v>
      </c>
      <c r="P7" s="21" t="n">
        <f aca="false">MAX(0,MIN(20,J7+IFERROR(INDEX(Talenti!$C$5:$C$24,MATCH(F7,Talenti!$A$5:$A$24,0)),0)+IFERROR(INDEX(Talenti!$C$5:$C$24,MATCH(G7,Talenti!$A$5:$A$24,0)),0)+IFERROR(INDEX(Talenti!$C$5:$C$24,MATCH(H7,Talenti!$A$5:$A$24,0)),0)))</f>
        <v>10</v>
      </c>
      <c r="Q7" s="21" t="n">
        <f aca="false">MAX(0,MIN(20,K7+IFERROR(INDEX(Talenti!$D$5:$D$24,MATCH(F7,Talenti!$A$5:$A$24,0)),0)+IFERROR(INDEX(Talenti!$D$5:$D$24,MATCH(G7,Talenti!$A$5:$A$24,0)),0)+IFERROR(INDEX(Talenti!$D$5:$D$24,MATCH(H7,Talenti!$A$5:$A$24,0)),0)))</f>
        <v>18</v>
      </c>
      <c r="R7" s="21" t="n">
        <f aca="false">MAX(0,MIN(20,L7+IFERROR(INDEX(Talenti!$E$5:$E$24,MATCH(F7,Talenti!$A$5:$A$24,0)),0)+IFERROR(INDEX(Talenti!$E$5:$E$24,MATCH(G7,Talenti!$A$5:$A$24,0)),0)+IFERROR(INDEX(Talenti!$E$5:$E$24,MATCH(H7,Talenti!$A$5:$A$24,0)),0)))</f>
        <v>5</v>
      </c>
      <c r="S7" s="21" t="n">
        <f aca="false">MAX(0,MIN(20,M7+IFERROR(INDEX(Talenti!$F$5:$F$24,MATCH(F7,Talenti!$A$5:$A$24,0)),0)+IFERROR(INDEX(Talenti!$F$5:$F$24,MATCH(G7,Talenti!$A$5:$A$24,0)),0)+IFERROR(INDEX(Talenti!$F$5:$F$24,MATCH(H7,Talenti!$A$5:$A$24,0)),0)))</f>
        <v>10</v>
      </c>
      <c r="T7" s="21" t="n">
        <f aca="false">MAX(0,MIN(20,N7+IFERROR(INDEX(Talenti!$G$5:$G$24,MATCH(F7,Talenti!$A$5:$A$24,0)),0)+IFERROR(INDEX(Talenti!$G$5:$G$24,MATCH(G7,Talenti!$A$5:$A$24,0)),0)+IFERROR(INDEX(Talenti!$G$5:$G$24,MATCH(H7,Talenti!$A$5:$A$24,0)),0)))</f>
        <v>9</v>
      </c>
      <c r="U7" s="22" t="n">
        <f aca="false">50+IFERROR(INDEX(Talenti!$H$5:$H$24,MATCH(F7,Talenti!$A$5:$A$24,0)),0)+IFERROR(INDEX(Talenti!$H$5:$H$24,MATCH(G7,Talenti!$A$5:$A$24,0)),0)+IFERROR(INDEX(Talenti!$H$5:$H$24,MATCH(H7,Talenti!$A$5:$A$24,0)),0)</f>
        <v>25</v>
      </c>
      <c r="V7" s="6" t="s">
        <v>117</v>
      </c>
    </row>
    <row r="8" customFormat="false" ht="39" hidden="false" customHeight="true" outlineLevel="0" collapsed="false">
      <c r="A8" s="5" t="s">
        <v>118</v>
      </c>
      <c r="B8" s="6" t="n">
        <v>36</v>
      </c>
      <c r="C8" s="6" t="s">
        <v>97</v>
      </c>
      <c r="D8" s="6" t="s">
        <v>119</v>
      </c>
      <c r="E8" s="6" t="s">
        <v>120</v>
      </c>
      <c r="F8" s="19" t="s">
        <v>121</v>
      </c>
      <c r="G8" s="19" t="s">
        <v>122</v>
      </c>
      <c r="H8" s="19" t="s">
        <v>123</v>
      </c>
      <c r="I8" s="20" t="n">
        <v>9</v>
      </c>
      <c r="J8" s="20" t="n">
        <v>10</v>
      </c>
      <c r="K8" s="20" t="n">
        <v>5</v>
      </c>
      <c r="L8" s="20" t="n">
        <v>8</v>
      </c>
      <c r="M8" s="20" t="n">
        <v>9</v>
      </c>
      <c r="N8" s="20" t="n">
        <v>14</v>
      </c>
      <c r="O8" s="21" t="n">
        <f aca="false">MAX(0,MIN(20,I8+IFERROR(INDEX(Talenti!$B$5:$B$24,MATCH(F8,Talenti!$A$5:$A$24,0)),0)+IFERROR(INDEX(Talenti!$B$5:$B$24,MATCH(G8,Talenti!$A$5:$A$24,0)),0)+IFERROR(INDEX(Talenti!$B$5:$B$24,MATCH(H8,Talenti!$A$5:$A$24,0)),0)))</f>
        <v>9</v>
      </c>
      <c r="P8" s="21" t="n">
        <f aca="false">MAX(0,MIN(20,J8+IFERROR(INDEX(Talenti!$C$5:$C$24,MATCH(F8,Talenti!$A$5:$A$24,0)),0)+IFERROR(INDEX(Talenti!$C$5:$C$24,MATCH(G8,Talenti!$A$5:$A$24,0)),0)+IFERROR(INDEX(Talenti!$C$5:$C$24,MATCH(H8,Talenti!$A$5:$A$24,0)),0)))</f>
        <v>13</v>
      </c>
      <c r="Q8" s="21" t="n">
        <f aca="false">MAX(0,MIN(20,K8+IFERROR(INDEX(Talenti!$D$5:$D$24,MATCH(F8,Talenti!$A$5:$A$24,0)),0)+IFERROR(INDEX(Talenti!$D$5:$D$24,MATCH(G8,Talenti!$A$5:$A$24,0)),0)+IFERROR(INDEX(Talenti!$D$5:$D$24,MATCH(H8,Talenti!$A$5:$A$24,0)),0)))</f>
        <v>5</v>
      </c>
      <c r="R8" s="21" t="n">
        <f aca="false">MAX(0,MIN(20,L8+IFERROR(INDEX(Talenti!$E$5:$E$24,MATCH(F8,Talenti!$A$5:$A$24,0)),0)+IFERROR(INDEX(Talenti!$E$5:$E$24,MATCH(G8,Talenti!$A$5:$A$24,0)),0)+IFERROR(INDEX(Talenti!$E$5:$E$24,MATCH(H8,Talenti!$A$5:$A$24,0)),0)))</f>
        <v>5</v>
      </c>
      <c r="S8" s="21" t="n">
        <f aca="false">MAX(0,MIN(20,M8+IFERROR(INDEX(Talenti!$F$5:$F$24,MATCH(F8,Talenti!$A$5:$A$24,0)),0)+IFERROR(INDEX(Talenti!$F$5:$F$24,MATCH(G8,Talenti!$A$5:$A$24,0)),0)+IFERROR(INDEX(Talenti!$F$5:$F$24,MATCH(H8,Talenti!$A$5:$A$24,0)),0)))</f>
        <v>11</v>
      </c>
      <c r="T8" s="21" t="n">
        <f aca="false">MAX(0,MIN(20,N8+IFERROR(INDEX(Talenti!$G$5:$G$24,MATCH(F8,Talenti!$A$5:$A$24,0)),0)+IFERROR(INDEX(Talenti!$G$5:$G$24,MATCH(G8,Talenti!$A$5:$A$24,0)),0)+IFERROR(INDEX(Talenti!$G$5:$G$24,MATCH(H8,Talenti!$A$5:$A$24,0)),0)))</f>
        <v>17</v>
      </c>
      <c r="U8" s="22" t="n">
        <f aca="false">50+IFERROR(INDEX(Talenti!$H$5:$H$24,MATCH(F8,Talenti!$A$5:$A$24,0)),0)+IFERROR(INDEX(Talenti!$H$5:$H$24,MATCH(G8,Talenti!$A$5:$A$24,0)),0)+IFERROR(INDEX(Talenti!$H$5:$H$24,MATCH(H8,Talenti!$A$5:$A$24,0)),0)</f>
        <v>70</v>
      </c>
      <c r="V8" s="6" t="s">
        <v>124</v>
      </c>
    </row>
    <row r="9" customFormat="false" ht="26.25" hidden="false" customHeight="true" outlineLevel="0" collapsed="false">
      <c r="A9" s="5" t="s">
        <v>125</v>
      </c>
      <c r="B9" s="6" t="n">
        <v>47</v>
      </c>
      <c r="C9" s="6" t="s">
        <v>126</v>
      </c>
      <c r="D9" s="6" t="s">
        <v>127</v>
      </c>
      <c r="E9" s="6" t="s">
        <v>128</v>
      </c>
      <c r="F9" s="19" t="s">
        <v>129</v>
      </c>
      <c r="G9" s="19" t="s">
        <v>130</v>
      </c>
      <c r="H9" s="19"/>
      <c r="I9" s="20" t="n">
        <v>12</v>
      </c>
      <c r="J9" s="20" t="n">
        <v>11</v>
      </c>
      <c r="K9" s="20" t="n">
        <v>6</v>
      </c>
      <c r="L9" s="20" t="n">
        <v>12</v>
      </c>
      <c r="M9" s="20" t="n">
        <v>7</v>
      </c>
      <c r="N9" s="20" t="n">
        <v>6</v>
      </c>
      <c r="O9" s="21" t="n">
        <f aca="false">MAX(0,MIN(20,I9+IFERROR(INDEX(Talenti!$B$5:$B$24,MATCH(F9,Talenti!$A$5:$A$24,0)),0)+IFERROR(INDEX(Talenti!$B$5:$B$24,MATCH(G9,Talenti!$A$5:$A$24,0)),0)+IFERROR(INDEX(Talenti!$B$5:$B$24,MATCH(H9,Talenti!$A$5:$A$24,0)),0)))</f>
        <v>12</v>
      </c>
      <c r="P9" s="21" t="n">
        <f aca="false">MAX(0,MIN(20,J9+IFERROR(INDEX(Talenti!$C$5:$C$24,MATCH(F9,Talenti!$A$5:$A$24,0)),0)+IFERROR(INDEX(Talenti!$C$5:$C$24,MATCH(G9,Talenti!$A$5:$A$24,0)),0)+IFERROR(INDEX(Talenti!$C$5:$C$24,MATCH(H9,Talenti!$A$5:$A$24,0)),0)))</f>
        <v>11</v>
      </c>
      <c r="Q9" s="21" t="n">
        <f aca="false">MAX(0,MIN(20,K9+IFERROR(INDEX(Talenti!$D$5:$D$24,MATCH(F9,Talenti!$A$5:$A$24,0)),0)+IFERROR(INDEX(Talenti!$D$5:$D$24,MATCH(G9,Talenti!$A$5:$A$24,0)),0)+IFERROR(INDEX(Talenti!$D$5:$D$24,MATCH(H9,Talenti!$A$5:$A$24,0)),0)))</f>
        <v>7</v>
      </c>
      <c r="R9" s="21" t="n">
        <f aca="false">MAX(0,MIN(20,L9+IFERROR(INDEX(Talenti!$E$5:$E$24,MATCH(F9,Talenti!$A$5:$A$24,0)),0)+IFERROR(INDEX(Talenti!$E$5:$E$24,MATCH(G9,Talenti!$A$5:$A$24,0)),0)+IFERROR(INDEX(Talenti!$E$5:$E$24,MATCH(H9,Talenti!$A$5:$A$24,0)),0)))</f>
        <v>17</v>
      </c>
      <c r="S9" s="21" t="n">
        <f aca="false">MAX(0,MIN(20,M9+IFERROR(INDEX(Talenti!$F$5:$F$24,MATCH(F9,Talenti!$A$5:$A$24,0)),0)+IFERROR(INDEX(Talenti!$F$5:$F$24,MATCH(G9,Talenti!$A$5:$A$24,0)),0)+IFERROR(INDEX(Talenti!$F$5:$F$24,MATCH(H9,Talenti!$A$5:$A$24,0)),0)))</f>
        <v>5</v>
      </c>
      <c r="T9" s="21" t="n">
        <f aca="false">MAX(0,MIN(20,N9+IFERROR(INDEX(Talenti!$G$5:$G$24,MATCH(F9,Talenti!$A$5:$A$24,0)),0)+IFERROR(INDEX(Talenti!$G$5:$G$24,MATCH(G9,Talenti!$A$5:$A$24,0)),0)+IFERROR(INDEX(Talenti!$G$5:$G$24,MATCH(H9,Talenti!$A$5:$A$24,0)),0)))</f>
        <v>6</v>
      </c>
      <c r="U9" s="22" t="n">
        <f aca="false">50+IFERROR(INDEX(Talenti!$H$5:$H$24,MATCH(F9,Talenti!$A$5:$A$24,0)),0)+IFERROR(INDEX(Talenti!$H$5:$H$24,MATCH(G9,Talenti!$A$5:$A$24,0)),0)+IFERROR(INDEX(Talenti!$H$5:$H$24,MATCH(H9,Talenti!$A$5:$A$24,0)),0)</f>
        <v>50</v>
      </c>
      <c r="V9" s="6" t="s">
        <v>131</v>
      </c>
    </row>
    <row r="10" customFormat="false" ht="26.25" hidden="false" customHeight="true" outlineLevel="0" collapsed="false">
      <c r="A10" s="5" t="s">
        <v>132</v>
      </c>
      <c r="B10" s="6" t="n">
        <v>58</v>
      </c>
      <c r="C10" s="6" t="s">
        <v>126</v>
      </c>
      <c r="D10" s="6" t="s">
        <v>133</v>
      </c>
      <c r="E10" s="6" t="s">
        <v>106</v>
      </c>
      <c r="F10" s="19" t="s">
        <v>134</v>
      </c>
      <c r="G10" s="19" t="s">
        <v>109</v>
      </c>
      <c r="H10" s="19"/>
      <c r="I10" s="20" t="n">
        <v>14</v>
      </c>
      <c r="J10" s="20" t="n">
        <v>8</v>
      </c>
      <c r="K10" s="20" t="n">
        <v>10</v>
      </c>
      <c r="L10" s="20" t="n">
        <v>9</v>
      </c>
      <c r="M10" s="20" t="n">
        <v>6</v>
      </c>
      <c r="N10" s="20" t="n">
        <v>5</v>
      </c>
      <c r="O10" s="21" t="n">
        <f aca="false">MAX(0,MIN(20,I10+IFERROR(INDEX(Talenti!$B$5:$B$24,MATCH(F10,Talenti!$A$5:$A$24,0)),0)+IFERROR(INDEX(Talenti!$B$5:$B$24,MATCH(G10,Talenti!$A$5:$A$24,0)),0)+IFERROR(INDEX(Talenti!$B$5:$B$24,MATCH(H10,Talenti!$A$5:$A$24,0)),0)))</f>
        <v>14</v>
      </c>
      <c r="P10" s="21" t="n">
        <f aca="false">MAX(0,MIN(20,J10+IFERROR(INDEX(Talenti!$C$5:$C$24,MATCH(F10,Talenti!$A$5:$A$24,0)),0)+IFERROR(INDEX(Talenti!$C$5:$C$24,MATCH(G10,Talenti!$A$5:$A$24,0)),0)+IFERROR(INDEX(Talenti!$C$5:$C$24,MATCH(H10,Talenti!$A$5:$A$24,0)),0)))</f>
        <v>7</v>
      </c>
      <c r="Q10" s="21" t="n">
        <f aca="false">MAX(0,MIN(20,K10+IFERROR(INDEX(Talenti!$D$5:$D$24,MATCH(F10,Talenti!$A$5:$A$24,0)),0)+IFERROR(INDEX(Talenti!$D$5:$D$24,MATCH(G10,Talenti!$A$5:$A$24,0)),0)+IFERROR(INDEX(Talenti!$D$5:$D$24,MATCH(H10,Talenti!$A$5:$A$24,0)),0)))</f>
        <v>13</v>
      </c>
      <c r="R10" s="21" t="n">
        <f aca="false">MAX(0,MIN(20,L10+IFERROR(INDEX(Talenti!$E$5:$E$24,MATCH(F10,Talenti!$A$5:$A$24,0)),0)+IFERROR(INDEX(Talenti!$E$5:$E$24,MATCH(G10,Talenti!$A$5:$A$24,0)),0)+IFERROR(INDEX(Talenti!$E$5:$E$24,MATCH(H10,Talenti!$A$5:$A$24,0)),0)))</f>
        <v>11</v>
      </c>
      <c r="S10" s="21" t="n">
        <f aca="false">MAX(0,MIN(20,M10+IFERROR(INDEX(Talenti!$F$5:$F$24,MATCH(F10,Talenti!$A$5:$A$24,0)),0)+IFERROR(INDEX(Talenti!$F$5:$F$24,MATCH(G10,Talenti!$A$5:$A$24,0)),0)+IFERROR(INDEX(Talenti!$F$5:$F$24,MATCH(H10,Talenti!$A$5:$A$24,0)),0)))</f>
        <v>6</v>
      </c>
      <c r="T10" s="21" t="n">
        <f aca="false">MAX(0,MIN(20,N10+IFERROR(INDEX(Talenti!$G$5:$G$24,MATCH(F10,Talenti!$A$5:$A$24,0)),0)+IFERROR(INDEX(Talenti!$G$5:$G$24,MATCH(G10,Talenti!$A$5:$A$24,0)),0)+IFERROR(INDEX(Talenti!$G$5:$G$24,MATCH(H10,Talenti!$A$5:$A$24,0)),0)))</f>
        <v>5</v>
      </c>
      <c r="U10" s="22" t="n">
        <f aca="false">50+IFERROR(INDEX(Talenti!$H$5:$H$24,MATCH(F10,Talenti!$A$5:$A$24,0)),0)+IFERROR(INDEX(Talenti!$H$5:$H$24,MATCH(G10,Talenti!$A$5:$A$24,0)),0)+IFERROR(INDEX(Talenti!$H$5:$H$24,MATCH(H10,Talenti!$A$5:$A$24,0)),0)</f>
        <v>45</v>
      </c>
      <c r="V10" s="6" t="s">
        <v>135</v>
      </c>
    </row>
    <row r="11" customFormat="false" ht="26.25" hidden="false" customHeight="true" outlineLevel="0" collapsed="false">
      <c r="A11" s="5" t="s">
        <v>136</v>
      </c>
      <c r="B11" s="6" t="n">
        <v>29</v>
      </c>
      <c r="C11" s="6" t="s">
        <v>126</v>
      </c>
      <c r="D11" s="6" t="s">
        <v>137</v>
      </c>
      <c r="E11" s="6" t="s">
        <v>138</v>
      </c>
      <c r="F11" s="19" t="s">
        <v>121</v>
      </c>
      <c r="G11" s="19" t="s">
        <v>139</v>
      </c>
      <c r="H11" s="19"/>
      <c r="I11" s="20" t="n">
        <v>9</v>
      </c>
      <c r="J11" s="20" t="n">
        <v>13</v>
      </c>
      <c r="K11" s="20" t="n">
        <v>7</v>
      </c>
      <c r="L11" s="20" t="n">
        <v>6</v>
      </c>
      <c r="M11" s="20" t="n">
        <v>11</v>
      </c>
      <c r="N11" s="20" t="n">
        <v>11</v>
      </c>
      <c r="O11" s="21" t="n">
        <f aca="false">MAX(0,MIN(20,I11+IFERROR(INDEX(Talenti!$B$5:$B$24,MATCH(F11,Talenti!$A$5:$A$24,0)),0)+IFERROR(INDEX(Talenti!$B$5:$B$24,MATCH(G11,Talenti!$A$5:$A$24,0)),0)+IFERROR(INDEX(Talenti!$B$5:$B$24,MATCH(H11,Talenti!$A$5:$A$24,0)),0)))</f>
        <v>9</v>
      </c>
      <c r="P11" s="21" t="n">
        <f aca="false">MAX(0,MIN(20,J11+IFERROR(INDEX(Talenti!$C$5:$C$24,MATCH(F11,Talenti!$A$5:$A$24,0)),0)+IFERROR(INDEX(Talenti!$C$5:$C$24,MATCH(G11,Talenti!$A$5:$A$24,0)),0)+IFERROR(INDEX(Talenti!$C$5:$C$24,MATCH(H11,Talenti!$A$5:$A$24,0)),0)))</f>
        <v>18</v>
      </c>
      <c r="Q11" s="21" t="n">
        <f aca="false">MAX(0,MIN(20,K11+IFERROR(INDEX(Talenti!$D$5:$D$24,MATCH(F11,Talenti!$A$5:$A$24,0)),0)+IFERROR(INDEX(Talenti!$D$5:$D$24,MATCH(G11,Talenti!$A$5:$A$24,0)),0)+IFERROR(INDEX(Talenti!$D$5:$D$24,MATCH(H11,Talenti!$A$5:$A$24,0)),0)))</f>
        <v>7</v>
      </c>
      <c r="R11" s="21" t="n">
        <f aca="false">MAX(0,MIN(20,L11+IFERROR(INDEX(Talenti!$E$5:$E$24,MATCH(F11,Talenti!$A$5:$A$24,0)),0)+IFERROR(INDEX(Talenti!$E$5:$E$24,MATCH(G11,Talenti!$A$5:$A$24,0)),0)+IFERROR(INDEX(Talenti!$E$5:$E$24,MATCH(H11,Talenti!$A$5:$A$24,0)),0)))</f>
        <v>4</v>
      </c>
      <c r="S11" s="21" t="n">
        <f aca="false">MAX(0,MIN(20,M11+IFERROR(INDEX(Talenti!$F$5:$F$24,MATCH(F11,Talenti!$A$5:$A$24,0)),0)+IFERROR(INDEX(Talenti!$F$5:$F$24,MATCH(G11,Talenti!$A$5:$A$24,0)),0)+IFERROR(INDEX(Talenti!$F$5:$F$24,MATCH(H11,Talenti!$A$5:$A$24,0)),0)))</f>
        <v>13</v>
      </c>
      <c r="T11" s="21" t="n">
        <f aca="false">MAX(0,MIN(20,N11+IFERROR(INDEX(Talenti!$G$5:$G$24,MATCH(F11,Talenti!$A$5:$A$24,0)),0)+IFERROR(INDEX(Talenti!$G$5:$G$24,MATCH(G11,Talenti!$A$5:$A$24,0)),0)+IFERROR(INDEX(Talenti!$G$5:$G$24,MATCH(H11,Talenti!$A$5:$A$24,0)),0)))</f>
        <v>11</v>
      </c>
      <c r="U11" s="22" t="n">
        <f aca="false">50+IFERROR(INDEX(Talenti!$H$5:$H$24,MATCH(F11,Talenti!$A$5:$A$24,0)),0)+IFERROR(INDEX(Talenti!$H$5:$H$24,MATCH(G11,Talenti!$A$5:$A$24,0)),0)+IFERROR(INDEX(Talenti!$H$5:$H$24,MATCH(H11,Talenti!$A$5:$A$24,0)),0)</f>
        <v>30</v>
      </c>
      <c r="V11" s="6" t="s">
        <v>140</v>
      </c>
    </row>
    <row r="12" customFormat="false" ht="26.25" hidden="false" customHeight="true" outlineLevel="0" collapsed="false">
      <c r="A12" s="5" t="s">
        <v>141</v>
      </c>
      <c r="B12" s="6" t="n">
        <v>39</v>
      </c>
      <c r="C12" s="6" t="s">
        <v>126</v>
      </c>
      <c r="D12" s="6" t="s">
        <v>127</v>
      </c>
      <c r="E12" s="6" t="s">
        <v>142</v>
      </c>
      <c r="F12" s="19" t="s">
        <v>115</v>
      </c>
      <c r="G12" s="19" t="s">
        <v>143</v>
      </c>
      <c r="H12" s="19"/>
      <c r="I12" s="20" t="n">
        <v>13</v>
      </c>
      <c r="J12" s="20" t="n">
        <v>10</v>
      </c>
      <c r="K12" s="20" t="n">
        <v>7</v>
      </c>
      <c r="L12" s="20" t="n">
        <v>8</v>
      </c>
      <c r="M12" s="20" t="n">
        <v>9</v>
      </c>
      <c r="N12" s="20" t="n">
        <v>8</v>
      </c>
      <c r="O12" s="21" t="n">
        <f aca="false">MAX(0,MIN(20,I12+IFERROR(INDEX(Talenti!$B$5:$B$24,MATCH(F12,Talenti!$A$5:$A$24,0)),0)+IFERROR(INDEX(Talenti!$B$5:$B$24,MATCH(G12,Talenti!$A$5:$A$24,0)),0)+IFERROR(INDEX(Talenti!$B$5:$B$24,MATCH(H12,Talenti!$A$5:$A$24,0)),0)))</f>
        <v>15</v>
      </c>
      <c r="P12" s="21" t="n">
        <f aca="false">MAX(0,MIN(20,J12+IFERROR(INDEX(Talenti!$C$5:$C$24,MATCH(F12,Talenti!$A$5:$A$24,0)),0)+IFERROR(INDEX(Talenti!$C$5:$C$24,MATCH(G12,Talenti!$A$5:$A$24,0)),0)+IFERROR(INDEX(Talenti!$C$5:$C$24,MATCH(H12,Talenti!$A$5:$A$24,0)),0)))</f>
        <v>10</v>
      </c>
      <c r="Q12" s="21" t="n">
        <f aca="false">MAX(0,MIN(20,K12+IFERROR(INDEX(Talenti!$D$5:$D$24,MATCH(F12,Talenti!$A$5:$A$24,0)),0)+IFERROR(INDEX(Talenti!$D$5:$D$24,MATCH(G12,Talenti!$A$5:$A$24,0)),0)+IFERROR(INDEX(Talenti!$D$5:$D$24,MATCH(H12,Talenti!$A$5:$A$24,0)),0)))</f>
        <v>7</v>
      </c>
      <c r="R12" s="21" t="n">
        <f aca="false">MAX(0,MIN(20,L12+IFERROR(INDEX(Talenti!$E$5:$E$24,MATCH(F12,Talenti!$A$5:$A$24,0)),0)+IFERROR(INDEX(Talenti!$E$5:$E$24,MATCH(G12,Talenti!$A$5:$A$24,0)),0)+IFERROR(INDEX(Talenti!$E$5:$E$24,MATCH(H12,Talenti!$A$5:$A$24,0)),0)))</f>
        <v>6</v>
      </c>
      <c r="S12" s="21" t="n">
        <f aca="false">MAX(0,MIN(20,M12+IFERROR(INDEX(Talenti!$F$5:$F$24,MATCH(F12,Talenti!$A$5:$A$24,0)),0)+IFERROR(INDEX(Talenti!$F$5:$F$24,MATCH(G12,Talenti!$A$5:$A$24,0)),0)+IFERROR(INDEX(Talenti!$F$5:$F$24,MATCH(H12,Talenti!$A$5:$A$24,0)),0)))</f>
        <v>12</v>
      </c>
      <c r="T12" s="21" t="n">
        <f aca="false">MAX(0,MIN(20,N12+IFERROR(INDEX(Talenti!$G$5:$G$24,MATCH(F12,Talenti!$A$5:$A$24,0)),0)+IFERROR(INDEX(Talenti!$G$5:$G$24,MATCH(G12,Talenti!$A$5:$A$24,0)),0)+IFERROR(INDEX(Talenti!$G$5:$G$24,MATCH(H12,Talenti!$A$5:$A$24,0)),0)))</f>
        <v>8</v>
      </c>
      <c r="U12" s="22" t="n">
        <f aca="false">50+IFERROR(INDEX(Talenti!$H$5:$H$24,MATCH(F12,Talenti!$A$5:$A$24,0)),0)+IFERROR(INDEX(Talenti!$H$5:$H$24,MATCH(G12,Talenti!$A$5:$A$24,0)),0)+IFERROR(INDEX(Talenti!$H$5:$H$24,MATCH(H12,Talenti!$A$5:$A$24,0)),0)</f>
        <v>35</v>
      </c>
      <c r="V12" s="6" t="s">
        <v>144</v>
      </c>
    </row>
    <row r="13" customFormat="false" ht="26.25" hidden="false" customHeight="true" outlineLevel="0" collapsed="false">
      <c r="A13" s="5" t="s">
        <v>145</v>
      </c>
      <c r="B13" s="6" t="n">
        <v>33</v>
      </c>
      <c r="C13" s="6" t="s">
        <v>126</v>
      </c>
      <c r="D13" s="6" t="s">
        <v>146</v>
      </c>
      <c r="E13" s="6" t="s">
        <v>147</v>
      </c>
      <c r="F13" s="19" t="s">
        <v>122</v>
      </c>
      <c r="G13" s="19" t="s">
        <v>148</v>
      </c>
      <c r="H13" s="19"/>
      <c r="I13" s="20" t="n">
        <v>8</v>
      </c>
      <c r="J13" s="20" t="n">
        <v>10</v>
      </c>
      <c r="K13" s="20" t="n">
        <v>5</v>
      </c>
      <c r="L13" s="20" t="n">
        <v>6</v>
      </c>
      <c r="M13" s="20" t="n">
        <v>8</v>
      </c>
      <c r="N13" s="20" t="n">
        <v>15</v>
      </c>
      <c r="O13" s="21" t="n">
        <f aca="false">MAX(0,MIN(20,I13+IFERROR(INDEX(Talenti!$B$5:$B$24,MATCH(F13,Talenti!$A$5:$A$24,0)),0)+IFERROR(INDEX(Talenti!$B$5:$B$24,MATCH(G13,Talenti!$A$5:$A$24,0)),0)+IFERROR(INDEX(Talenti!$B$5:$B$24,MATCH(H13,Talenti!$A$5:$A$24,0)),0)))</f>
        <v>6</v>
      </c>
      <c r="P13" s="21" t="n">
        <f aca="false">MAX(0,MIN(20,J13+IFERROR(INDEX(Talenti!$C$5:$C$24,MATCH(F13,Talenti!$A$5:$A$24,0)),0)+IFERROR(INDEX(Talenti!$C$5:$C$24,MATCH(G13,Talenti!$A$5:$A$24,0)),0)+IFERROR(INDEX(Talenti!$C$5:$C$24,MATCH(H13,Talenti!$A$5:$A$24,0)),0)))</f>
        <v>8</v>
      </c>
      <c r="Q13" s="21" t="n">
        <f aca="false">MAX(0,MIN(20,K13+IFERROR(INDEX(Talenti!$D$5:$D$24,MATCH(F13,Talenti!$A$5:$A$24,0)),0)+IFERROR(INDEX(Talenti!$D$5:$D$24,MATCH(G13,Talenti!$A$5:$A$24,0)),0)+IFERROR(INDEX(Talenti!$D$5:$D$24,MATCH(H13,Talenti!$A$5:$A$24,0)),0)))</f>
        <v>5</v>
      </c>
      <c r="R13" s="21" t="n">
        <f aca="false">MAX(0,MIN(20,L13+IFERROR(INDEX(Talenti!$E$5:$E$24,MATCH(F13,Talenti!$A$5:$A$24,0)),0)+IFERROR(INDEX(Talenti!$E$5:$E$24,MATCH(G13,Talenti!$A$5:$A$24,0)),0)+IFERROR(INDEX(Talenti!$E$5:$E$24,MATCH(H13,Talenti!$A$5:$A$24,0)),0)))</f>
        <v>4</v>
      </c>
      <c r="S13" s="21" t="n">
        <f aca="false">MAX(0,MIN(20,M13+IFERROR(INDEX(Talenti!$F$5:$F$24,MATCH(F13,Talenti!$A$5:$A$24,0)),0)+IFERROR(INDEX(Talenti!$F$5:$F$24,MATCH(G13,Talenti!$A$5:$A$24,0)),0)+IFERROR(INDEX(Talenti!$F$5:$F$24,MATCH(H13,Talenti!$A$5:$A$24,0)),0)))</f>
        <v>8</v>
      </c>
      <c r="T13" s="21" t="n">
        <f aca="false">MAX(0,MIN(20,N13+IFERROR(INDEX(Talenti!$G$5:$G$24,MATCH(F13,Talenti!$A$5:$A$24,0)),0)+IFERROR(INDEX(Talenti!$G$5:$G$24,MATCH(G13,Talenti!$A$5:$A$24,0)),0)+IFERROR(INDEX(Talenti!$G$5:$G$24,MATCH(H13,Talenti!$A$5:$A$24,0)),0)))</f>
        <v>18</v>
      </c>
      <c r="U13" s="22" t="n">
        <f aca="false">50+IFERROR(INDEX(Talenti!$H$5:$H$24,MATCH(F13,Talenti!$A$5:$A$24,0)),0)+IFERROR(INDEX(Talenti!$H$5:$H$24,MATCH(G13,Talenti!$A$5:$A$24,0)),0)+IFERROR(INDEX(Talenti!$H$5:$H$24,MATCH(H13,Talenti!$A$5:$A$24,0)),0)</f>
        <v>40</v>
      </c>
      <c r="V13" s="6" t="s">
        <v>149</v>
      </c>
    </row>
    <row r="14" customFormat="false" ht="26.25" hidden="false" customHeight="true" outlineLevel="0" collapsed="false">
      <c r="A14" s="5" t="s">
        <v>150</v>
      </c>
      <c r="B14" s="6" t="n">
        <v>61</v>
      </c>
      <c r="C14" s="6" t="s">
        <v>126</v>
      </c>
      <c r="D14" s="6" t="s">
        <v>151</v>
      </c>
      <c r="E14" s="6" t="s">
        <v>99</v>
      </c>
      <c r="F14" s="19" t="s">
        <v>123</v>
      </c>
      <c r="G14" s="19" t="s">
        <v>143</v>
      </c>
      <c r="H14" s="19"/>
      <c r="I14" s="20" t="n">
        <v>7</v>
      </c>
      <c r="J14" s="20" t="n">
        <v>13</v>
      </c>
      <c r="K14" s="20" t="n">
        <v>8</v>
      </c>
      <c r="L14" s="20" t="n">
        <v>9</v>
      </c>
      <c r="M14" s="20" t="n">
        <v>14</v>
      </c>
      <c r="N14" s="20" t="n">
        <v>4</v>
      </c>
      <c r="O14" s="21" t="n">
        <f aca="false">MAX(0,MIN(20,I14+IFERROR(INDEX(Talenti!$B$5:$B$24,MATCH(F14,Talenti!$A$5:$A$24,0)),0)+IFERROR(INDEX(Talenti!$B$5:$B$24,MATCH(G14,Talenti!$A$5:$A$24,0)),0)+IFERROR(INDEX(Talenti!$B$5:$B$24,MATCH(H14,Talenti!$A$5:$A$24,0)),0)))</f>
        <v>7</v>
      </c>
      <c r="P14" s="21" t="n">
        <f aca="false">MAX(0,MIN(20,J14+IFERROR(INDEX(Talenti!$C$5:$C$24,MATCH(F14,Talenti!$A$5:$A$24,0)),0)+IFERROR(INDEX(Talenti!$C$5:$C$24,MATCH(G14,Talenti!$A$5:$A$24,0)),0)+IFERROR(INDEX(Talenti!$C$5:$C$24,MATCH(H14,Talenti!$A$5:$A$24,0)),0)))</f>
        <v>13</v>
      </c>
      <c r="Q14" s="21" t="n">
        <f aca="false">MAX(0,MIN(20,K14+IFERROR(INDEX(Talenti!$D$5:$D$24,MATCH(F14,Talenti!$A$5:$A$24,0)),0)+IFERROR(INDEX(Talenti!$D$5:$D$24,MATCH(G14,Talenti!$A$5:$A$24,0)),0)+IFERROR(INDEX(Talenti!$D$5:$D$24,MATCH(H14,Talenti!$A$5:$A$24,0)),0)))</f>
        <v>8</v>
      </c>
      <c r="R14" s="21" t="n">
        <f aca="false">MAX(0,MIN(20,L14+IFERROR(INDEX(Talenti!$E$5:$E$24,MATCH(F14,Talenti!$A$5:$A$24,0)),0)+IFERROR(INDEX(Talenti!$E$5:$E$24,MATCH(G14,Talenti!$A$5:$A$24,0)),0)+IFERROR(INDEX(Talenti!$E$5:$E$24,MATCH(H14,Talenti!$A$5:$A$24,0)),0)))</f>
        <v>8</v>
      </c>
      <c r="S14" s="21" t="n">
        <f aca="false">MAX(0,MIN(20,M14+IFERROR(INDEX(Talenti!$F$5:$F$24,MATCH(F14,Talenti!$A$5:$A$24,0)),0)+IFERROR(INDEX(Talenti!$F$5:$F$24,MATCH(G14,Talenti!$A$5:$A$24,0)),0)+IFERROR(INDEX(Talenti!$F$5:$F$24,MATCH(H14,Talenti!$A$5:$A$24,0)),0)))</f>
        <v>17</v>
      </c>
      <c r="T14" s="21" t="n">
        <f aca="false">MAX(0,MIN(20,N14+IFERROR(INDEX(Talenti!$G$5:$G$24,MATCH(F14,Talenti!$A$5:$A$24,0)),0)+IFERROR(INDEX(Talenti!$G$5:$G$24,MATCH(G14,Talenti!$A$5:$A$24,0)),0)+IFERROR(INDEX(Talenti!$G$5:$G$24,MATCH(H14,Talenti!$A$5:$A$24,0)),0)))</f>
        <v>4</v>
      </c>
      <c r="U14" s="22" t="n">
        <f aca="false">50+IFERROR(INDEX(Talenti!$H$5:$H$24,MATCH(F14,Talenti!$A$5:$A$24,0)),0)+IFERROR(INDEX(Talenti!$H$5:$H$24,MATCH(G14,Talenti!$A$5:$A$24,0)),0)+IFERROR(INDEX(Talenti!$H$5:$H$24,MATCH(H14,Talenti!$A$5:$A$24,0)),0)</f>
        <v>70</v>
      </c>
      <c r="V14" s="6" t="s">
        <v>152</v>
      </c>
    </row>
    <row r="15" customFormat="false" ht="26.25" hidden="false" customHeight="true" outlineLevel="0" collapsed="false">
      <c r="A15" s="5" t="s">
        <v>153</v>
      </c>
      <c r="B15" s="6" t="n">
        <v>55</v>
      </c>
      <c r="C15" s="6" t="s">
        <v>154</v>
      </c>
      <c r="D15" s="6" t="s">
        <v>155</v>
      </c>
      <c r="E15" s="6" t="s">
        <v>106</v>
      </c>
      <c r="F15" s="19" t="s">
        <v>114</v>
      </c>
      <c r="G15" s="19" t="s">
        <v>123</v>
      </c>
      <c r="H15" s="19"/>
      <c r="I15" s="20" t="n">
        <v>15</v>
      </c>
      <c r="J15" s="20" t="n">
        <v>14</v>
      </c>
      <c r="K15" s="20" t="n">
        <v>14</v>
      </c>
      <c r="L15" s="20" t="n">
        <v>9</v>
      </c>
      <c r="M15" s="20" t="n">
        <v>15</v>
      </c>
      <c r="N15" s="20" t="n">
        <v>13</v>
      </c>
      <c r="O15" s="21" t="n">
        <f aca="false">MAX(0,MIN(20,I15+IFERROR(INDEX(Talenti!$B$5:$B$24,MATCH(F15,Talenti!$A$5:$A$24,0)),0)+IFERROR(INDEX(Talenti!$B$5:$B$24,MATCH(G15,Talenti!$A$5:$A$24,0)),0)+IFERROR(INDEX(Talenti!$B$5:$B$24,MATCH(H15,Talenti!$A$5:$A$24,0)),0)))</f>
        <v>15</v>
      </c>
      <c r="P15" s="21" t="n">
        <f aca="false">MAX(0,MIN(20,J15+IFERROR(INDEX(Talenti!$C$5:$C$24,MATCH(F15,Talenti!$A$5:$A$24,0)),0)+IFERROR(INDEX(Talenti!$C$5:$C$24,MATCH(G15,Talenti!$A$5:$A$24,0)),0)+IFERROR(INDEX(Talenti!$C$5:$C$24,MATCH(H15,Talenti!$A$5:$A$24,0)),0)))</f>
        <v>14</v>
      </c>
      <c r="Q15" s="21" t="n">
        <f aca="false">MAX(0,MIN(20,K15+IFERROR(INDEX(Talenti!$D$5:$D$24,MATCH(F15,Talenti!$A$5:$A$24,0)),0)+IFERROR(INDEX(Talenti!$D$5:$D$24,MATCH(G15,Talenti!$A$5:$A$24,0)),0)+IFERROR(INDEX(Talenti!$D$5:$D$24,MATCH(H15,Talenti!$A$5:$A$24,0)),0)))</f>
        <v>16</v>
      </c>
      <c r="R15" s="21" t="n">
        <f aca="false">MAX(0,MIN(20,L15+IFERROR(INDEX(Talenti!$E$5:$E$24,MATCH(F15,Talenti!$A$5:$A$24,0)),0)+IFERROR(INDEX(Talenti!$E$5:$E$24,MATCH(G15,Talenti!$A$5:$A$24,0)),0)+IFERROR(INDEX(Talenti!$E$5:$E$24,MATCH(H15,Talenti!$A$5:$A$24,0)),0)))</f>
        <v>7</v>
      </c>
      <c r="S15" s="21" t="n">
        <f aca="false">MAX(0,MIN(20,M15+IFERROR(INDEX(Talenti!$F$5:$F$24,MATCH(F15,Talenti!$A$5:$A$24,0)),0)+IFERROR(INDEX(Talenti!$F$5:$F$24,MATCH(G15,Talenti!$A$5:$A$24,0)),0)+IFERROR(INDEX(Talenti!$F$5:$F$24,MATCH(H15,Talenti!$A$5:$A$24,0)),0)))</f>
        <v>15</v>
      </c>
      <c r="T15" s="21" t="n">
        <f aca="false">MAX(0,MIN(20,N15+IFERROR(INDEX(Talenti!$G$5:$G$24,MATCH(F15,Talenti!$A$5:$A$24,0)),0)+IFERROR(INDEX(Talenti!$G$5:$G$24,MATCH(G15,Talenti!$A$5:$A$24,0)),0)+IFERROR(INDEX(Talenti!$G$5:$G$24,MATCH(H15,Talenti!$A$5:$A$24,0)),0)))</f>
        <v>13</v>
      </c>
      <c r="U15" s="22" t="n">
        <f aca="false">50+IFERROR(INDEX(Talenti!$H$5:$H$24,MATCH(F15,Talenti!$A$5:$A$24,0)),0)+IFERROR(INDEX(Talenti!$H$5:$H$24,MATCH(G15,Talenti!$A$5:$A$24,0)),0)+IFERROR(INDEX(Talenti!$H$5:$H$24,MATCH(H15,Talenti!$A$5:$A$24,0)),0)</f>
        <v>70</v>
      </c>
      <c r="V15" s="6" t="s">
        <v>156</v>
      </c>
    </row>
    <row r="16" customFormat="false" ht="26.25" hidden="false" customHeight="true" outlineLevel="0" collapsed="false">
      <c r="A16" s="5" t="s">
        <v>157</v>
      </c>
      <c r="B16" s="6" t="n">
        <v>79</v>
      </c>
      <c r="C16" s="6" t="s">
        <v>154</v>
      </c>
      <c r="D16" s="6" t="s">
        <v>158</v>
      </c>
      <c r="E16" s="6" t="s">
        <v>106</v>
      </c>
      <c r="F16" s="19" t="s">
        <v>102</v>
      </c>
      <c r="G16" s="19" t="s">
        <v>143</v>
      </c>
      <c r="H16" s="19"/>
      <c r="I16" s="20" t="n">
        <v>12</v>
      </c>
      <c r="J16" s="20" t="n">
        <v>9</v>
      </c>
      <c r="K16" s="20" t="n">
        <v>10</v>
      </c>
      <c r="L16" s="20" t="n">
        <v>13</v>
      </c>
      <c r="M16" s="20" t="n">
        <v>11</v>
      </c>
      <c r="N16" s="20" t="n">
        <v>3</v>
      </c>
      <c r="O16" s="21" t="n">
        <f aca="false">MAX(0,MIN(20,I16+IFERROR(INDEX(Talenti!$B$5:$B$24,MATCH(F16,Talenti!$A$5:$A$24,0)),0)+IFERROR(INDEX(Talenti!$B$5:$B$24,MATCH(G16,Talenti!$A$5:$A$24,0)),0)+IFERROR(INDEX(Talenti!$B$5:$B$24,MATCH(H16,Talenti!$A$5:$A$24,0)),0)))</f>
        <v>12</v>
      </c>
      <c r="P16" s="21" t="n">
        <f aca="false">MAX(0,MIN(20,J16+IFERROR(INDEX(Talenti!$C$5:$C$24,MATCH(F16,Talenti!$A$5:$A$24,0)),0)+IFERROR(INDEX(Talenti!$C$5:$C$24,MATCH(G16,Talenti!$A$5:$A$24,0)),0)+IFERROR(INDEX(Talenti!$C$5:$C$24,MATCH(H16,Talenti!$A$5:$A$24,0)),0)))</f>
        <v>9</v>
      </c>
      <c r="Q16" s="21" t="n">
        <f aca="false">MAX(0,MIN(20,K16+IFERROR(INDEX(Talenti!$D$5:$D$24,MATCH(F16,Talenti!$A$5:$A$24,0)),0)+IFERROR(INDEX(Talenti!$D$5:$D$24,MATCH(G16,Talenti!$A$5:$A$24,0)),0)+IFERROR(INDEX(Talenti!$D$5:$D$24,MATCH(H16,Talenti!$A$5:$A$24,0)),0)))</f>
        <v>8</v>
      </c>
      <c r="R16" s="21" t="n">
        <f aca="false">MAX(0,MIN(20,L16+IFERROR(INDEX(Talenti!$E$5:$E$24,MATCH(F16,Talenti!$A$5:$A$24,0)),0)+IFERROR(INDEX(Talenti!$E$5:$E$24,MATCH(G16,Talenti!$A$5:$A$24,0)),0)+IFERROR(INDEX(Talenti!$E$5:$E$24,MATCH(H16,Talenti!$A$5:$A$24,0)),0)))</f>
        <v>13</v>
      </c>
      <c r="S16" s="21" t="n">
        <f aca="false">MAX(0,MIN(20,M16+IFERROR(INDEX(Talenti!$F$5:$F$24,MATCH(F16,Talenti!$A$5:$A$24,0)),0)+IFERROR(INDEX(Talenti!$F$5:$F$24,MATCH(G16,Talenti!$A$5:$A$24,0)),0)+IFERROR(INDEX(Talenti!$F$5:$F$24,MATCH(H16,Talenti!$A$5:$A$24,0)),0)))</f>
        <v>14</v>
      </c>
      <c r="T16" s="21" t="n">
        <f aca="false">MAX(0,MIN(20,N16+IFERROR(INDEX(Talenti!$G$5:$G$24,MATCH(F16,Talenti!$A$5:$A$24,0)),0)+IFERROR(INDEX(Talenti!$G$5:$G$24,MATCH(G16,Talenti!$A$5:$A$24,0)),0)+IFERROR(INDEX(Talenti!$G$5:$G$24,MATCH(H16,Talenti!$A$5:$A$24,0)),0)))</f>
        <v>3</v>
      </c>
      <c r="U16" s="22" t="n">
        <f aca="false">50+IFERROR(INDEX(Talenti!$H$5:$H$24,MATCH(F16,Talenti!$A$5:$A$24,0)),0)+IFERROR(INDEX(Talenti!$H$5:$H$24,MATCH(G16,Talenti!$A$5:$A$24,0)),0)+IFERROR(INDEX(Talenti!$H$5:$H$24,MATCH(H16,Talenti!$A$5:$A$24,0)),0)</f>
        <v>50</v>
      </c>
      <c r="V16" s="6" t="s">
        <v>159</v>
      </c>
    </row>
    <row r="17" customFormat="false" ht="26.25" hidden="false" customHeight="true" outlineLevel="0" collapsed="false">
      <c r="A17" s="5" t="s">
        <v>160</v>
      </c>
      <c r="B17" s="6" t="n">
        <v>63</v>
      </c>
      <c r="C17" s="6" t="s">
        <v>154</v>
      </c>
      <c r="D17" s="6" t="s">
        <v>161</v>
      </c>
      <c r="E17" s="6" t="s">
        <v>162</v>
      </c>
      <c r="F17" s="19" t="s">
        <v>134</v>
      </c>
      <c r="G17" s="19" t="s">
        <v>163</v>
      </c>
      <c r="H17" s="19"/>
      <c r="I17" s="20" t="n">
        <v>14</v>
      </c>
      <c r="J17" s="20" t="n">
        <v>10</v>
      </c>
      <c r="K17" s="20" t="n">
        <v>11</v>
      </c>
      <c r="L17" s="20" t="n">
        <v>12</v>
      </c>
      <c r="M17" s="20" t="n">
        <v>10</v>
      </c>
      <c r="N17" s="20" t="n">
        <v>7</v>
      </c>
      <c r="O17" s="21" t="n">
        <f aca="false">MAX(0,MIN(20,I17+IFERROR(INDEX(Talenti!$B$5:$B$24,MATCH(F17,Talenti!$A$5:$A$24,0)),0)+IFERROR(INDEX(Talenti!$B$5:$B$24,MATCH(G17,Talenti!$A$5:$A$24,0)),0)+IFERROR(INDEX(Talenti!$B$5:$B$24,MATCH(H17,Talenti!$A$5:$A$24,0)),0)))</f>
        <v>14</v>
      </c>
      <c r="P17" s="21" t="n">
        <f aca="false">MAX(0,MIN(20,J17+IFERROR(INDEX(Talenti!$C$5:$C$24,MATCH(F17,Talenti!$A$5:$A$24,0)),0)+IFERROR(INDEX(Talenti!$C$5:$C$24,MATCH(G17,Talenti!$A$5:$A$24,0)),0)+IFERROR(INDEX(Talenti!$C$5:$C$24,MATCH(H17,Talenti!$A$5:$A$24,0)),0)))</f>
        <v>11</v>
      </c>
      <c r="Q17" s="21" t="n">
        <f aca="false">MAX(0,MIN(20,K17+IFERROR(INDEX(Talenti!$D$5:$D$24,MATCH(F17,Talenti!$A$5:$A$24,0)),0)+IFERROR(INDEX(Talenti!$D$5:$D$24,MATCH(G17,Talenti!$A$5:$A$24,0)),0)+IFERROR(INDEX(Talenti!$D$5:$D$24,MATCH(H17,Talenti!$A$5:$A$24,0)),0)))</f>
        <v>12</v>
      </c>
      <c r="R17" s="21" t="n">
        <f aca="false">MAX(0,MIN(20,L17+IFERROR(INDEX(Talenti!$E$5:$E$24,MATCH(F17,Talenti!$A$5:$A$24,0)),0)+IFERROR(INDEX(Talenti!$E$5:$E$24,MATCH(G17,Talenti!$A$5:$A$24,0)),0)+IFERROR(INDEX(Talenti!$E$5:$E$24,MATCH(H17,Talenti!$A$5:$A$24,0)),0)))</f>
        <v>17</v>
      </c>
      <c r="S17" s="21" t="n">
        <f aca="false">MAX(0,MIN(20,M17+IFERROR(INDEX(Talenti!$F$5:$F$24,MATCH(F17,Talenti!$A$5:$A$24,0)),0)+IFERROR(INDEX(Talenti!$F$5:$F$24,MATCH(G17,Talenti!$A$5:$A$24,0)),0)+IFERROR(INDEX(Talenti!$F$5:$F$24,MATCH(H17,Talenti!$A$5:$A$24,0)),0)))</f>
        <v>10</v>
      </c>
      <c r="T17" s="21" t="n">
        <f aca="false">MAX(0,MIN(20,N17+IFERROR(INDEX(Talenti!$G$5:$G$24,MATCH(F17,Talenti!$A$5:$A$24,0)),0)+IFERROR(INDEX(Talenti!$G$5:$G$24,MATCH(G17,Talenti!$A$5:$A$24,0)),0)+IFERROR(INDEX(Talenti!$G$5:$G$24,MATCH(H17,Talenti!$A$5:$A$24,0)),0)))</f>
        <v>7</v>
      </c>
      <c r="U17" s="22" t="n">
        <f aca="false">50+IFERROR(INDEX(Talenti!$H$5:$H$24,MATCH(F17,Talenti!$A$5:$A$24,0)),0)+IFERROR(INDEX(Talenti!$H$5:$H$24,MATCH(G17,Talenti!$A$5:$A$24,0)),0)+IFERROR(INDEX(Talenti!$H$5:$H$24,MATCH(H17,Talenti!$A$5:$A$24,0)),0)</f>
        <v>55</v>
      </c>
      <c r="V17" s="6" t="s">
        <v>164</v>
      </c>
    </row>
    <row r="18" customFormat="false" ht="26.25" hidden="false" customHeight="true" outlineLevel="0" collapsed="false">
      <c r="A18" s="5" t="s">
        <v>165</v>
      </c>
      <c r="B18" s="6" t="n">
        <v>45</v>
      </c>
      <c r="C18" s="6" t="s">
        <v>154</v>
      </c>
      <c r="D18" s="6" t="s">
        <v>166</v>
      </c>
      <c r="E18" s="6" t="s">
        <v>167</v>
      </c>
      <c r="F18" s="19" t="s">
        <v>143</v>
      </c>
      <c r="G18" s="19" t="s">
        <v>134</v>
      </c>
      <c r="H18" s="19"/>
      <c r="I18" s="20" t="n">
        <v>10</v>
      </c>
      <c r="J18" s="20" t="n">
        <v>6</v>
      </c>
      <c r="K18" s="20" t="n">
        <v>11</v>
      </c>
      <c r="L18" s="20" t="n">
        <v>7</v>
      </c>
      <c r="M18" s="20" t="n">
        <v>12</v>
      </c>
      <c r="N18" s="20" t="n">
        <v>5</v>
      </c>
      <c r="O18" s="21" t="n">
        <f aca="false">MAX(0,MIN(20,I18+IFERROR(INDEX(Talenti!$B$5:$B$24,MATCH(F18,Talenti!$A$5:$A$24,0)),0)+IFERROR(INDEX(Talenti!$B$5:$B$24,MATCH(G18,Talenti!$A$5:$A$24,0)),0)+IFERROR(INDEX(Talenti!$B$5:$B$24,MATCH(H18,Talenti!$A$5:$A$24,0)),0)))</f>
        <v>10</v>
      </c>
      <c r="P18" s="21" t="n">
        <f aca="false">MAX(0,MIN(20,J18+IFERROR(INDEX(Talenti!$C$5:$C$24,MATCH(F18,Talenti!$A$5:$A$24,0)),0)+IFERROR(INDEX(Talenti!$C$5:$C$24,MATCH(G18,Talenti!$A$5:$A$24,0)),0)+IFERROR(INDEX(Talenti!$C$5:$C$24,MATCH(H18,Talenti!$A$5:$A$24,0)),0)))</f>
        <v>6</v>
      </c>
      <c r="Q18" s="21" t="n">
        <f aca="false">MAX(0,MIN(20,K18+IFERROR(INDEX(Talenti!$D$5:$D$24,MATCH(F18,Talenti!$A$5:$A$24,0)),0)+IFERROR(INDEX(Talenti!$D$5:$D$24,MATCH(G18,Talenti!$A$5:$A$24,0)),0)+IFERROR(INDEX(Talenti!$D$5:$D$24,MATCH(H18,Talenti!$A$5:$A$24,0)),0)))</f>
        <v>12</v>
      </c>
      <c r="R18" s="21" t="n">
        <f aca="false">MAX(0,MIN(20,L18+IFERROR(INDEX(Talenti!$E$5:$E$24,MATCH(F18,Talenti!$A$5:$A$24,0)),0)+IFERROR(INDEX(Talenti!$E$5:$E$24,MATCH(G18,Talenti!$A$5:$A$24,0)),0)+IFERROR(INDEX(Talenti!$E$5:$E$24,MATCH(H18,Talenti!$A$5:$A$24,0)),0)))</f>
        <v>7</v>
      </c>
      <c r="S18" s="21" t="n">
        <f aca="false">MAX(0,MIN(20,M18+IFERROR(INDEX(Talenti!$F$5:$F$24,MATCH(F18,Talenti!$A$5:$A$24,0)),0)+IFERROR(INDEX(Talenti!$F$5:$F$24,MATCH(G18,Talenti!$A$5:$A$24,0)),0)+IFERROR(INDEX(Talenti!$F$5:$F$24,MATCH(H18,Talenti!$A$5:$A$24,0)),0)))</f>
        <v>15</v>
      </c>
      <c r="T18" s="21" t="n">
        <f aca="false">MAX(0,MIN(20,N18+IFERROR(INDEX(Talenti!$G$5:$G$24,MATCH(F18,Talenti!$A$5:$A$24,0)),0)+IFERROR(INDEX(Talenti!$G$5:$G$24,MATCH(G18,Talenti!$A$5:$A$24,0)),0)+IFERROR(INDEX(Talenti!$G$5:$G$24,MATCH(H18,Talenti!$A$5:$A$24,0)),0)))</f>
        <v>5</v>
      </c>
      <c r="U18" s="22" t="n">
        <f aca="false">50+IFERROR(INDEX(Talenti!$H$5:$H$24,MATCH(F18,Talenti!$A$5:$A$24,0)),0)+IFERROR(INDEX(Talenti!$H$5:$H$24,MATCH(G18,Talenti!$A$5:$A$24,0)),0)+IFERROR(INDEX(Talenti!$H$5:$H$24,MATCH(H18,Talenti!$A$5:$A$24,0)),0)</f>
        <v>50</v>
      </c>
      <c r="V18" s="6" t="s">
        <v>168</v>
      </c>
    </row>
    <row r="19" customFormat="false" ht="26.25" hidden="false" customHeight="true" outlineLevel="0" collapsed="false">
      <c r="A19" s="5" t="s">
        <v>169</v>
      </c>
      <c r="B19" s="6" t="n">
        <v>27</v>
      </c>
      <c r="C19" s="6" t="s">
        <v>154</v>
      </c>
      <c r="D19" s="6" t="s">
        <v>170</v>
      </c>
      <c r="E19" s="6" t="s">
        <v>106</v>
      </c>
      <c r="F19" s="19" t="s">
        <v>122</v>
      </c>
      <c r="G19" s="19" t="s">
        <v>109</v>
      </c>
      <c r="H19" s="19" t="s">
        <v>148</v>
      </c>
      <c r="I19" s="20" t="n">
        <v>7</v>
      </c>
      <c r="J19" s="20" t="n">
        <v>8</v>
      </c>
      <c r="K19" s="20" t="n">
        <v>13</v>
      </c>
      <c r="L19" s="20" t="n">
        <v>9</v>
      </c>
      <c r="M19" s="20" t="n">
        <v>6</v>
      </c>
      <c r="N19" s="20" t="n">
        <v>16</v>
      </c>
      <c r="O19" s="21" t="n">
        <f aca="false">MAX(0,MIN(20,I19+IFERROR(INDEX(Talenti!$B$5:$B$24,MATCH(F19,Talenti!$A$5:$A$24,0)),0)+IFERROR(INDEX(Talenti!$B$5:$B$24,MATCH(G19,Talenti!$A$5:$A$24,0)),0)+IFERROR(INDEX(Talenti!$B$5:$B$24,MATCH(H19,Talenti!$A$5:$A$24,0)),0)))</f>
        <v>5</v>
      </c>
      <c r="P19" s="21" t="n">
        <f aca="false">MAX(0,MIN(20,J19+IFERROR(INDEX(Talenti!$C$5:$C$24,MATCH(F19,Talenti!$A$5:$A$24,0)),0)+IFERROR(INDEX(Talenti!$C$5:$C$24,MATCH(G19,Talenti!$A$5:$A$24,0)),0)+IFERROR(INDEX(Talenti!$C$5:$C$24,MATCH(H19,Talenti!$A$5:$A$24,0)),0)))</f>
        <v>5</v>
      </c>
      <c r="Q19" s="21" t="n">
        <f aca="false">MAX(0,MIN(20,K19+IFERROR(INDEX(Talenti!$D$5:$D$24,MATCH(F19,Talenti!$A$5:$A$24,0)),0)+IFERROR(INDEX(Talenti!$D$5:$D$24,MATCH(G19,Talenti!$A$5:$A$24,0)),0)+IFERROR(INDEX(Talenti!$D$5:$D$24,MATCH(H19,Talenti!$A$5:$A$24,0)),0)))</f>
        <v>15</v>
      </c>
      <c r="R19" s="21" t="n">
        <f aca="false">MAX(0,MIN(20,L19+IFERROR(INDEX(Talenti!$E$5:$E$24,MATCH(F19,Talenti!$A$5:$A$24,0)),0)+IFERROR(INDEX(Talenti!$E$5:$E$24,MATCH(G19,Talenti!$A$5:$A$24,0)),0)+IFERROR(INDEX(Talenti!$E$5:$E$24,MATCH(H19,Talenti!$A$5:$A$24,0)),0)))</f>
        <v>7</v>
      </c>
      <c r="S19" s="21" t="n">
        <f aca="false">MAX(0,MIN(20,M19+IFERROR(INDEX(Talenti!$F$5:$F$24,MATCH(F19,Talenti!$A$5:$A$24,0)),0)+IFERROR(INDEX(Talenti!$F$5:$F$24,MATCH(G19,Talenti!$A$5:$A$24,0)),0)+IFERROR(INDEX(Talenti!$F$5:$F$24,MATCH(H19,Talenti!$A$5:$A$24,0)),0)))</f>
        <v>6</v>
      </c>
      <c r="T19" s="21" t="n">
        <f aca="false">MAX(0,MIN(20,N19+IFERROR(INDEX(Talenti!$G$5:$G$24,MATCH(F19,Talenti!$A$5:$A$24,0)),0)+IFERROR(INDEX(Talenti!$G$5:$G$24,MATCH(G19,Talenti!$A$5:$A$24,0)),0)+IFERROR(INDEX(Talenti!$G$5:$G$24,MATCH(H19,Talenti!$A$5:$A$24,0)),0)))</f>
        <v>19</v>
      </c>
      <c r="U19" s="22" t="n">
        <f aca="false">50+IFERROR(INDEX(Talenti!$H$5:$H$24,MATCH(F19,Talenti!$A$5:$A$24,0)),0)+IFERROR(INDEX(Talenti!$H$5:$H$24,MATCH(G19,Talenti!$A$5:$A$24,0)),0)+IFERROR(INDEX(Talenti!$H$5:$H$24,MATCH(H19,Talenti!$A$5:$A$24,0)),0)</f>
        <v>35</v>
      </c>
      <c r="V19" s="6" t="s">
        <v>171</v>
      </c>
    </row>
  </sheetData>
  <conditionalFormatting sqref="O5:T19">
    <cfRule type="colorScale" priority="2">
      <colorScale>
        <cfvo type="num" val="0"/>
        <cfvo type="num" val="10"/>
        <cfvo type="num" val="20"/>
        <color rgb="FFF8D3D4"/>
        <color rgb="FFFFFFFF"/>
        <color rgb="FFBFE8C9"/>
      </colorScale>
    </cfRule>
  </conditionalFormatting>
  <dataValidations count="1">
    <dataValidation allowBlank="true" errorStyle="stop" operator="between" showDropDown="false" showErrorMessage="false" showInputMessage="false" sqref="F5:H39" type="list">
      <formula1>Talenti!$A$5:$A$24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3"/>
    <col collapsed="false" customWidth="true" hidden="false" outlineLevel="0" max="9" min="9" style="1" width="11"/>
    <col collapsed="false" customWidth="true" hidden="false" outlineLevel="0" max="10" min="10" style="1" width="58"/>
  </cols>
  <sheetData>
    <row r="1" customFormat="false" ht="17.25" hidden="false" customHeight="true" outlineLevel="0" collapsed="false">
      <c r="A1" s="2" t="s">
        <v>172</v>
      </c>
    </row>
    <row r="2" customFormat="false" ht="15" hidden="false" customHeight="true" outlineLevel="0" collapsed="false">
      <c r="A2" s="3" t="s">
        <v>173</v>
      </c>
    </row>
    <row r="4" customFormat="false" ht="33.75" hidden="false" customHeight="true" outlineLevel="0" collapsed="false">
      <c r="A4" s="17" t="s">
        <v>174</v>
      </c>
      <c r="B4" s="18" t="s">
        <v>88</v>
      </c>
      <c r="C4" s="18" t="s">
        <v>89</v>
      </c>
      <c r="D4" s="18" t="s">
        <v>90</v>
      </c>
      <c r="E4" s="18" t="s">
        <v>91</v>
      </c>
      <c r="F4" s="18" t="s">
        <v>92</v>
      </c>
      <c r="G4" s="18" t="s">
        <v>93</v>
      </c>
      <c r="H4" s="18" t="s">
        <v>94</v>
      </c>
      <c r="I4" s="18" t="s">
        <v>175</v>
      </c>
      <c r="J4" s="18" t="s">
        <v>176</v>
      </c>
    </row>
    <row r="5" customFormat="false" ht="15" hidden="false" customHeight="true" outlineLevel="0" collapsed="false">
      <c r="A5" s="7" t="s">
        <v>100</v>
      </c>
      <c r="B5" s="23" t="n">
        <v>4</v>
      </c>
      <c r="C5" s="23" t="n">
        <v>0</v>
      </c>
      <c r="D5" s="23" t="n">
        <v>0</v>
      </c>
      <c r="E5" s="23" t="n">
        <v>1</v>
      </c>
      <c r="F5" s="23" t="n">
        <v>0</v>
      </c>
      <c r="G5" s="23" t="n">
        <v>-2</v>
      </c>
      <c r="H5" s="23" t="n">
        <v>0</v>
      </c>
      <c r="I5" s="10" t="s">
        <v>177</v>
      </c>
      <c r="J5" s="6" t="s">
        <v>178</v>
      </c>
    </row>
    <row r="6" customFormat="false" ht="15" hidden="false" customHeight="true" outlineLevel="0" collapsed="false">
      <c r="A6" s="7" t="s">
        <v>101</v>
      </c>
      <c r="B6" s="23" t="n">
        <v>0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-4</v>
      </c>
      <c r="H6" s="23" t="n">
        <v>0</v>
      </c>
      <c r="I6" s="10" t="s">
        <v>179</v>
      </c>
      <c r="J6" s="6" t="s">
        <v>180</v>
      </c>
    </row>
    <row r="7" customFormat="false" ht="15" hidden="false" customHeight="true" outlineLevel="0" collapsed="false">
      <c r="A7" s="7" t="s">
        <v>102</v>
      </c>
      <c r="B7" s="23" t="n">
        <v>0</v>
      </c>
      <c r="C7" s="23" t="n">
        <v>0</v>
      </c>
      <c r="D7" s="23" t="n">
        <v>-2</v>
      </c>
      <c r="E7" s="23" t="n">
        <v>2</v>
      </c>
      <c r="F7" s="23" t="n">
        <v>0</v>
      </c>
      <c r="G7" s="23" t="n">
        <v>0</v>
      </c>
      <c r="H7" s="23" t="n">
        <v>0</v>
      </c>
      <c r="I7" s="10" t="s">
        <v>181</v>
      </c>
      <c r="J7" s="6" t="s">
        <v>182</v>
      </c>
    </row>
    <row r="8" customFormat="false" ht="15" hidden="false" customHeight="true" outlineLevel="0" collapsed="false">
      <c r="A8" s="7" t="s">
        <v>107</v>
      </c>
      <c r="B8" s="23" t="n">
        <v>-1</v>
      </c>
      <c r="C8" s="23" t="n">
        <v>0</v>
      </c>
      <c r="D8" s="23" t="n">
        <v>1</v>
      </c>
      <c r="E8" s="23" t="n">
        <v>0</v>
      </c>
      <c r="F8" s="23" t="n">
        <v>3</v>
      </c>
      <c r="G8" s="23" t="n">
        <v>0</v>
      </c>
      <c r="H8" s="23" t="n">
        <v>0</v>
      </c>
      <c r="I8" s="10" t="s">
        <v>177</v>
      </c>
      <c r="J8" s="6" t="s">
        <v>183</v>
      </c>
    </row>
    <row r="9" customFormat="false" ht="15" hidden="false" customHeight="true" outlineLevel="0" collapsed="false">
      <c r="A9" s="7" t="s">
        <v>108</v>
      </c>
      <c r="B9" s="23" t="n">
        <v>0</v>
      </c>
      <c r="C9" s="23" t="n">
        <v>0</v>
      </c>
      <c r="D9" s="23" t="n">
        <v>0</v>
      </c>
      <c r="E9" s="23" t="n">
        <v>-2</v>
      </c>
      <c r="F9" s="23" t="n">
        <v>0</v>
      </c>
      <c r="G9" s="23" t="n">
        <v>0</v>
      </c>
      <c r="H9" s="23" t="n">
        <v>-5</v>
      </c>
      <c r="I9" s="10" t="s">
        <v>179</v>
      </c>
      <c r="J9" s="6" t="s">
        <v>184</v>
      </c>
    </row>
    <row r="10" customFormat="false" ht="15" hidden="false" customHeight="true" outlineLevel="0" collapsed="false">
      <c r="A10" s="7" t="s">
        <v>109</v>
      </c>
      <c r="B10" s="23" t="n">
        <v>0</v>
      </c>
      <c r="C10" s="23" t="n">
        <v>-1</v>
      </c>
      <c r="D10" s="23" t="n">
        <v>2</v>
      </c>
      <c r="E10" s="23" t="n">
        <v>0</v>
      </c>
      <c r="F10" s="23" t="n">
        <v>0</v>
      </c>
      <c r="G10" s="23" t="n">
        <v>0</v>
      </c>
      <c r="H10" s="23" t="n">
        <v>-5</v>
      </c>
      <c r="I10" s="10" t="s">
        <v>181</v>
      </c>
      <c r="J10" s="6" t="s">
        <v>185</v>
      </c>
    </row>
    <row r="11" customFormat="false" ht="15" hidden="false" customHeight="true" outlineLevel="0" collapsed="false">
      <c r="A11" s="7" t="s">
        <v>114</v>
      </c>
      <c r="B11" s="23" t="n">
        <v>0</v>
      </c>
      <c r="C11" s="23" t="n">
        <v>0</v>
      </c>
      <c r="D11" s="23" t="n">
        <v>2</v>
      </c>
      <c r="E11" s="23" t="n">
        <v>-3</v>
      </c>
      <c r="F11" s="23" t="n">
        <v>0</v>
      </c>
      <c r="G11" s="23" t="n">
        <v>0</v>
      </c>
      <c r="H11" s="23" t="n">
        <v>0</v>
      </c>
      <c r="I11" s="10" t="s">
        <v>181</v>
      </c>
      <c r="J11" s="6" t="s">
        <v>186</v>
      </c>
    </row>
    <row r="12" customFormat="false" ht="15" hidden="false" customHeight="true" outlineLevel="0" collapsed="false">
      <c r="A12" s="7" t="s">
        <v>115</v>
      </c>
      <c r="B12" s="23" t="n">
        <v>2</v>
      </c>
      <c r="C12" s="23" t="n">
        <v>0</v>
      </c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-15</v>
      </c>
      <c r="I12" s="10" t="s">
        <v>181</v>
      </c>
      <c r="J12" s="6" t="s">
        <v>187</v>
      </c>
    </row>
    <row r="13" customFormat="false" ht="15" hidden="false" customHeight="true" outlineLevel="0" collapsed="false">
      <c r="A13" s="7" t="s">
        <v>116</v>
      </c>
      <c r="B13" s="23" t="n">
        <v>0</v>
      </c>
      <c r="C13" s="23" t="n">
        <v>0</v>
      </c>
      <c r="D13" s="23" t="n">
        <v>4</v>
      </c>
      <c r="E13" s="23" t="n">
        <v>0</v>
      </c>
      <c r="F13" s="23" t="n">
        <v>0</v>
      </c>
      <c r="G13" s="23" t="n">
        <v>0</v>
      </c>
      <c r="H13" s="23" t="n">
        <v>-10</v>
      </c>
      <c r="I13" s="10" t="s">
        <v>188</v>
      </c>
      <c r="J13" s="6" t="s">
        <v>189</v>
      </c>
    </row>
    <row r="14" customFormat="false" ht="15" hidden="false" customHeight="true" outlineLevel="0" collapsed="false">
      <c r="A14" s="7" t="s">
        <v>121</v>
      </c>
      <c r="B14" s="23" t="n">
        <v>0</v>
      </c>
      <c r="C14" s="23" t="n">
        <v>3</v>
      </c>
      <c r="D14" s="23" t="n">
        <v>0</v>
      </c>
      <c r="E14" s="23" t="n">
        <v>-2</v>
      </c>
      <c r="F14" s="23" t="n">
        <v>2</v>
      </c>
      <c r="G14" s="23" t="n">
        <v>0</v>
      </c>
      <c r="H14" s="23" t="n">
        <v>0</v>
      </c>
      <c r="I14" s="10" t="s">
        <v>181</v>
      </c>
      <c r="J14" s="6" t="s">
        <v>190</v>
      </c>
    </row>
    <row r="15" customFormat="false" ht="15" hidden="false" customHeight="true" outlineLevel="0" collapsed="false">
      <c r="A15" s="7" t="s">
        <v>122</v>
      </c>
      <c r="B15" s="23" t="n">
        <v>0</v>
      </c>
      <c r="C15" s="23" t="n">
        <v>0</v>
      </c>
      <c r="D15" s="23" t="n">
        <v>0</v>
      </c>
      <c r="E15" s="23" t="n">
        <v>-2</v>
      </c>
      <c r="F15" s="23" t="n">
        <v>0</v>
      </c>
      <c r="G15" s="23" t="n">
        <v>3</v>
      </c>
      <c r="H15" s="23" t="n">
        <v>0</v>
      </c>
      <c r="I15" s="10" t="s">
        <v>181</v>
      </c>
      <c r="J15" s="6" t="s">
        <v>191</v>
      </c>
    </row>
    <row r="16" customFormat="false" ht="15" hidden="false" customHeight="true" outlineLevel="0" collapsed="false">
      <c r="A16" s="7" t="s">
        <v>123</v>
      </c>
      <c r="B16" s="23" t="n">
        <v>0</v>
      </c>
      <c r="C16" s="23" t="n">
        <v>0</v>
      </c>
      <c r="D16" s="23" t="n">
        <v>0</v>
      </c>
      <c r="E16" s="23" t="n">
        <v>1</v>
      </c>
      <c r="F16" s="23" t="n">
        <v>0</v>
      </c>
      <c r="G16" s="23" t="n">
        <v>0</v>
      </c>
      <c r="H16" s="23" t="n">
        <v>20</v>
      </c>
      <c r="I16" s="10" t="s">
        <v>188</v>
      </c>
      <c r="J16" s="6" t="s">
        <v>192</v>
      </c>
    </row>
    <row r="17" customFormat="false" ht="15" hidden="false" customHeight="true" outlineLevel="0" collapsed="false">
      <c r="A17" s="7" t="s">
        <v>163</v>
      </c>
      <c r="B17" s="23" t="n">
        <v>0</v>
      </c>
      <c r="C17" s="23" t="n">
        <v>1</v>
      </c>
      <c r="D17" s="23" t="n">
        <v>0</v>
      </c>
      <c r="E17" s="23" t="n">
        <v>3</v>
      </c>
      <c r="F17" s="23" t="n">
        <v>0</v>
      </c>
      <c r="G17" s="23" t="n">
        <v>0</v>
      </c>
      <c r="H17" s="23" t="n">
        <v>5</v>
      </c>
      <c r="I17" s="10" t="s">
        <v>181</v>
      </c>
      <c r="J17" s="6" t="s">
        <v>193</v>
      </c>
    </row>
    <row r="18" customFormat="false" ht="15" hidden="false" customHeight="true" outlineLevel="0" collapsed="false">
      <c r="A18" s="7" t="s">
        <v>129</v>
      </c>
      <c r="B18" s="23" t="n">
        <v>0</v>
      </c>
      <c r="C18" s="23" t="n">
        <v>0</v>
      </c>
      <c r="D18" s="23" t="n">
        <v>1</v>
      </c>
      <c r="E18" s="23" t="n">
        <v>3</v>
      </c>
      <c r="F18" s="23" t="n">
        <v>0</v>
      </c>
      <c r="G18" s="23" t="n">
        <v>0</v>
      </c>
      <c r="H18" s="23" t="n">
        <v>0</v>
      </c>
      <c r="I18" s="10" t="s">
        <v>188</v>
      </c>
      <c r="J18" s="6" t="s">
        <v>194</v>
      </c>
    </row>
    <row r="19" customFormat="false" ht="26.25" hidden="false" customHeight="true" outlineLevel="0" collapsed="false">
      <c r="A19" s="7" t="s">
        <v>134</v>
      </c>
      <c r="B19" s="23" t="n">
        <v>0</v>
      </c>
      <c r="C19" s="23" t="n">
        <v>0</v>
      </c>
      <c r="D19" s="23" t="n">
        <v>1</v>
      </c>
      <c r="E19" s="23" t="n">
        <v>2</v>
      </c>
      <c r="F19" s="23" t="n">
        <v>0</v>
      </c>
      <c r="G19" s="23" t="n">
        <v>0</v>
      </c>
      <c r="H19" s="23" t="n">
        <v>0</v>
      </c>
      <c r="I19" s="10" t="s">
        <v>188</v>
      </c>
      <c r="J19" s="6" t="s">
        <v>195</v>
      </c>
    </row>
    <row r="20" customFormat="false" ht="15" hidden="false" customHeight="true" outlineLevel="0" collapsed="false">
      <c r="A20" s="7" t="s">
        <v>143</v>
      </c>
      <c r="B20" s="23" t="n">
        <v>0</v>
      </c>
      <c r="C20" s="23" t="n">
        <v>0</v>
      </c>
      <c r="D20" s="23" t="n">
        <v>0</v>
      </c>
      <c r="E20" s="23" t="n">
        <v>-2</v>
      </c>
      <c r="F20" s="23" t="n">
        <v>3</v>
      </c>
      <c r="G20" s="23" t="n">
        <v>0</v>
      </c>
      <c r="H20" s="23" t="n">
        <v>0</v>
      </c>
      <c r="I20" s="10" t="s">
        <v>181</v>
      </c>
      <c r="J20" s="6" t="s">
        <v>196</v>
      </c>
    </row>
    <row r="21" customFormat="false" ht="15" hidden="false" customHeight="true" outlineLevel="0" collapsed="false">
      <c r="A21" s="7" t="s">
        <v>130</v>
      </c>
      <c r="B21" s="23" t="n">
        <v>0</v>
      </c>
      <c r="C21" s="23" t="n">
        <v>0</v>
      </c>
      <c r="D21" s="23" t="n">
        <v>0</v>
      </c>
      <c r="E21" s="23" t="n">
        <v>2</v>
      </c>
      <c r="F21" s="23" t="n">
        <v>-2</v>
      </c>
      <c r="G21" s="23" t="n">
        <v>0</v>
      </c>
      <c r="H21" s="23" t="n">
        <v>0</v>
      </c>
      <c r="I21" s="10" t="s">
        <v>181</v>
      </c>
      <c r="J21" s="6" t="s">
        <v>197</v>
      </c>
    </row>
    <row r="22" customFormat="false" ht="15" hidden="false" customHeight="true" outlineLevel="0" collapsed="false">
      <c r="A22" s="7" t="s">
        <v>139</v>
      </c>
      <c r="B22" s="23" t="n">
        <v>0</v>
      </c>
      <c r="C22" s="23" t="n">
        <v>2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-20</v>
      </c>
      <c r="I22" s="10" t="s">
        <v>181</v>
      </c>
      <c r="J22" s="6" t="s">
        <v>198</v>
      </c>
    </row>
    <row r="23" customFormat="false" ht="15" hidden="false" customHeight="true" outlineLevel="0" collapsed="false">
      <c r="A23" s="7" t="s">
        <v>148</v>
      </c>
      <c r="B23" s="23" t="n">
        <v>-2</v>
      </c>
      <c r="C23" s="23" t="n">
        <v>-2</v>
      </c>
      <c r="D23" s="23" t="n">
        <v>0</v>
      </c>
      <c r="E23" s="23" t="n">
        <v>0</v>
      </c>
      <c r="F23" s="23" t="n">
        <v>0</v>
      </c>
      <c r="G23" s="23" t="n">
        <v>0</v>
      </c>
      <c r="H23" s="23" t="n">
        <v>-10</v>
      </c>
      <c r="I23" s="10" t="s">
        <v>179</v>
      </c>
      <c r="J23" s="6" t="s">
        <v>199</v>
      </c>
    </row>
    <row r="24" customFormat="false" ht="15" hidden="false" customHeight="true" outlineLevel="0" collapsed="false">
      <c r="A24" s="7" t="s">
        <v>200</v>
      </c>
      <c r="B24" s="23" t="n">
        <v>0</v>
      </c>
      <c r="C24" s="23" t="n">
        <v>0</v>
      </c>
      <c r="D24" s="23" t="n">
        <v>0</v>
      </c>
      <c r="E24" s="23" t="n">
        <v>1</v>
      </c>
      <c r="F24" s="23" t="n">
        <v>0</v>
      </c>
      <c r="G24" s="23" t="n">
        <v>0</v>
      </c>
      <c r="H24" s="23" t="n">
        <v>0</v>
      </c>
      <c r="I24" s="10" t="s">
        <v>181</v>
      </c>
      <c r="J24" s="6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5" min="4" style="1" width="22"/>
    <col collapsed="false" customWidth="true" hidden="false" outlineLevel="0" max="6" min="6" style="1" width="46"/>
    <col collapsed="false" customWidth="true" hidden="false" outlineLevel="0" max="7" min="7" style="1" width="3"/>
    <col collapsed="false" customWidth="true" hidden="false" outlineLevel="0" max="8" min="8" style="1" width="22"/>
  </cols>
  <sheetData>
    <row r="1" customFormat="false" ht="17.25" hidden="false" customHeight="true" outlineLevel="0" collapsed="false">
      <c r="A1" s="2" t="s">
        <v>202</v>
      </c>
    </row>
    <row r="2" customFormat="false" ht="15" hidden="false" customHeight="true" outlineLevel="0" collapsed="false">
      <c r="A2" s="3" t="s">
        <v>203</v>
      </c>
    </row>
    <row r="4" customFormat="false" ht="15" hidden="false" customHeight="true" outlineLevel="0" collapsed="false">
      <c r="A4" s="24" t="s">
        <v>204</v>
      </c>
      <c r="B4" s="25"/>
      <c r="C4" s="25"/>
      <c r="D4" s="25"/>
      <c r="E4" s="25"/>
      <c r="F4" s="25"/>
      <c r="G4" s="25"/>
      <c r="H4" s="26"/>
    </row>
    <row r="5" customFormat="false" ht="31.5" hidden="false" customHeight="true" outlineLevel="0" collapsed="false">
      <c r="A5" s="4" t="s">
        <v>77</v>
      </c>
      <c r="B5" s="4" t="s">
        <v>205</v>
      </c>
      <c r="C5" s="4" t="s">
        <v>206</v>
      </c>
      <c r="D5" s="4" t="s">
        <v>207</v>
      </c>
      <c r="E5" s="4" t="s">
        <v>208</v>
      </c>
      <c r="F5" s="4" t="s">
        <v>57</v>
      </c>
      <c r="H5" s="27" t="s">
        <v>209</v>
      </c>
    </row>
    <row r="6" customFormat="false" ht="15" hidden="false" customHeight="true" outlineLevel="0" collapsed="false">
      <c r="A6" s="28" t="s">
        <v>210</v>
      </c>
      <c r="B6" s="29" t="n">
        <v>23000</v>
      </c>
      <c r="C6" s="30" t="n">
        <f aca="false">B6*$H$6</f>
        <v>32660</v>
      </c>
      <c r="D6" s="31" t="n">
        <v>2</v>
      </c>
      <c r="E6" s="8" t="s">
        <v>88</v>
      </c>
      <c r="F6" s="6" t="s">
        <v>211</v>
      </c>
      <c r="H6" s="32" t="n">
        <v>1.42</v>
      </c>
    </row>
    <row r="7" customFormat="false" ht="21.75" hidden="false" customHeight="true" outlineLevel="0" collapsed="false">
      <c r="A7" s="28" t="s">
        <v>212</v>
      </c>
      <c r="B7" s="29" t="n">
        <v>20000</v>
      </c>
      <c r="C7" s="30" t="n">
        <f aca="false">B7*$H$6</f>
        <v>28400</v>
      </c>
      <c r="D7" s="31" t="n">
        <v>3</v>
      </c>
      <c r="E7" s="8" t="s">
        <v>88</v>
      </c>
      <c r="F7" s="6"/>
      <c r="H7" s="33" t="s">
        <v>213</v>
      </c>
    </row>
    <row r="8" customFormat="false" ht="15" hidden="false" customHeight="true" outlineLevel="0" collapsed="false">
      <c r="A8" s="28" t="s">
        <v>214</v>
      </c>
      <c r="B8" s="29" t="n">
        <v>18500</v>
      </c>
      <c r="C8" s="30" t="n">
        <f aca="false">B8*$H$6</f>
        <v>26270</v>
      </c>
      <c r="D8" s="31" t="n">
        <v>4</v>
      </c>
      <c r="E8" s="8" t="s">
        <v>88</v>
      </c>
      <c r="F8" s="6" t="s">
        <v>215</v>
      </c>
    </row>
    <row r="9" customFormat="false" ht="15" hidden="false" customHeight="true" outlineLevel="0" collapsed="false">
      <c r="A9" s="28" t="s">
        <v>216</v>
      </c>
      <c r="B9" s="29" t="n">
        <v>22000</v>
      </c>
      <c r="C9" s="30" t="n">
        <f aca="false">B9*$H$6</f>
        <v>31240</v>
      </c>
      <c r="D9" s="31" t="n">
        <v>3</v>
      </c>
      <c r="E9" s="8" t="s">
        <v>217</v>
      </c>
      <c r="F9" s="6" t="s">
        <v>218</v>
      </c>
    </row>
    <row r="10" customFormat="false" ht="15" hidden="false" customHeight="true" outlineLevel="0" collapsed="false">
      <c r="A10" s="28" t="s">
        <v>219</v>
      </c>
      <c r="B10" s="29" t="n">
        <v>27000</v>
      </c>
      <c r="C10" s="30" t="n">
        <f aca="false">B10*$H$6</f>
        <v>38340</v>
      </c>
      <c r="D10" s="31" t="n">
        <v>3</v>
      </c>
      <c r="E10" s="8" t="s">
        <v>14</v>
      </c>
      <c r="F10" s="6"/>
    </row>
    <row r="11" customFormat="false" ht="15" hidden="false" customHeight="true" outlineLevel="0" collapsed="false">
      <c r="A11" s="28" t="s">
        <v>127</v>
      </c>
      <c r="B11" s="29" t="n">
        <v>48000</v>
      </c>
      <c r="C11" s="30" t="n">
        <f aca="false">B11*$H$6</f>
        <v>68160</v>
      </c>
      <c r="D11" s="31" t="n">
        <v>2</v>
      </c>
      <c r="E11" s="8" t="s">
        <v>220</v>
      </c>
      <c r="F11" s="6" t="s">
        <v>221</v>
      </c>
    </row>
    <row r="12" customFormat="false" ht="15" hidden="false" customHeight="true" outlineLevel="0" collapsed="false">
      <c r="A12" s="28" t="s">
        <v>222</v>
      </c>
      <c r="B12" s="29" t="n">
        <v>75000</v>
      </c>
      <c r="C12" s="30" t="n">
        <f aca="false">B12*$H$6</f>
        <v>106500</v>
      </c>
      <c r="D12" s="31" t="n">
        <v>1</v>
      </c>
      <c r="E12" s="8" t="s">
        <v>223</v>
      </c>
      <c r="F12" s="6" t="s">
        <v>224</v>
      </c>
    </row>
    <row r="14" customFormat="false" ht="15" hidden="false" customHeight="true" outlineLevel="0" collapsed="false">
      <c r="A14" s="24" t="s">
        <v>225</v>
      </c>
      <c r="B14" s="25"/>
      <c r="C14" s="25"/>
      <c r="D14" s="25"/>
      <c r="E14" s="25"/>
      <c r="F14" s="25"/>
      <c r="G14" s="25"/>
      <c r="H14" s="25"/>
    </row>
    <row r="15" customFormat="false" ht="31.5" hidden="false" customHeight="true" outlineLevel="0" collapsed="false">
      <c r="A15" s="4" t="s">
        <v>78</v>
      </c>
      <c r="B15" s="4" t="s">
        <v>226</v>
      </c>
      <c r="C15" s="4" t="s">
        <v>227</v>
      </c>
      <c r="D15" s="4" t="s">
        <v>228</v>
      </c>
      <c r="E15" s="4" t="s">
        <v>229</v>
      </c>
      <c r="F15" s="4" t="s">
        <v>230</v>
      </c>
    </row>
    <row r="16" customFormat="false" ht="15" hidden="false" customHeight="true" outlineLevel="0" collapsed="false">
      <c r="A16" s="28" t="s">
        <v>106</v>
      </c>
      <c r="B16" s="32" t="n">
        <v>1.1</v>
      </c>
      <c r="C16" s="31" t="n">
        <v>5</v>
      </c>
      <c r="D16" s="31" t="n">
        <v>5</v>
      </c>
      <c r="E16" s="8" t="s">
        <v>231</v>
      </c>
      <c r="F16" s="30" t="n">
        <f aca="false">$B$6*B16</f>
        <v>25300</v>
      </c>
    </row>
    <row r="17" customFormat="false" ht="15" hidden="false" customHeight="true" outlineLevel="0" collapsed="false">
      <c r="A17" s="28" t="s">
        <v>138</v>
      </c>
      <c r="B17" s="32" t="n">
        <v>1.03</v>
      </c>
      <c r="C17" s="31" t="n">
        <v>4</v>
      </c>
      <c r="D17" s="31" t="n">
        <v>4</v>
      </c>
      <c r="E17" s="8" t="s">
        <v>232</v>
      </c>
      <c r="F17" s="30" t="n">
        <f aca="false">$B$6*B17</f>
        <v>23690</v>
      </c>
    </row>
    <row r="18" customFormat="false" ht="15" hidden="false" customHeight="true" outlineLevel="0" collapsed="false">
      <c r="A18" s="28" t="s">
        <v>120</v>
      </c>
      <c r="B18" s="32" t="n">
        <v>1.04</v>
      </c>
      <c r="C18" s="31" t="n">
        <v>3</v>
      </c>
      <c r="D18" s="31" t="n">
        <v>3</v>
      </c>
      <c r="E18" s="8" t="s">
        <v>233</v>
      </c>
      <c r="F18" s="30" t="n">
        <f aca="false">$B$6*B18</f>
        <v>23920</v>
      </c>
    </row>
    <row r="19" customFormat="false" ht="15" hidden="false" customHeight="true" outlineLevel="0" collapsed="false">
      <c r="A19" s="28" t="s">
        <v>142</v>
      </c>
      <c r="B19" s="32" t="n">
        <v>1.03</v>
      </c>
      <c r="C19" s="31" t="n">
        <v>4</v>
      </c>
      <c r="D19" s="31" t="n">
        <v>4</v>
      </c>
      <c r="E19" s="8" t="s">
        <v>234</v>
      </c>
      <c r="F19" s="30" t="n">
        <f aca="false">$B$6*B19</f>
        <v>23690</v>
      </c>
    </row>
    <row r="20" customFormat="false" ht="15" hidden="false" customHeight="true" outlineLevel="0" collapsed="false">
      <c r="A20" s="28" t="s">
        <v>147</v>
      </c>
      <c r="B20" s="32" t="n">
        <v>1.02</v>
      </c>
      <c r="C20" s="31" t="n">
        <v>4</v>
      </c>
      <c r="D20" s="31" t="n">
        <v>3</v>
      </c>
      <c r="E20" s="8" t="s">
        <v>235</v>
      </c>
      <c r="F20" s="30" t="n">
        <f aca="false">$B$6*B20</f>
        <v>23460</v>
      </c>
    </row>
    <row r="21" customFormat="false" ht="15" hidden="false" customHeight="true" outlineLevel="0" collapsed="false">
      <c r="A21" s="28" t="s">
        <v>113</v>
      </c>
      <c r="B21" s="32" t="n">
        <v>1</v>
      </c>
      <c r="C21" s="31" t="n">
        <v>3</v>
      </c>
      <c r="D21" s="31" t="n">
        <v>3</v>
      </c>
      <c r="E21" s="8" t="s">
        <v>236</v>
      </c>
      <c r="F21" s="30" t="n">
        <f aca="false">$B$6*B21</f>
        <v>23000</v>
      </c>
    </row>
    <row r="22" customFormat="false" ht="15" hidden="false" customHeight="true" outlineLevel="0" collapsed="false">
      <c r="A22" s="28" t="s">
        <v>128</v>
      </c>
      <c r="B22" s="32" t="n">
        <v>1</v>
      </c>
      <c r="C22" s="31" t="n">
        <v>3</v>
      </c>
      <c r="D22" s="31" t="n">
        <v>4</v>
      </c>
      <c r="E22" s="8" t="s">
        <v>237</v>
      </c>
      <c r="F22" s="30" t="n">
        <f aca="false">$B$6*B22</f>
        <v>23000</v>
      </c>
    </row>
    <row r="23" customFormat="false" ht="15" hidden="false" customHeight="true" outlineLevel="0" collapsed="false">
      <c r="A23" s="28" t="s">
        <v>99</v>
      </c>
      <c r="B23" s="32" t="n">
        <v>0.97</v>
      </c>
      <c r="C23" s="31" t="n">
        <v>3</v>
      </c>
      <c r="D23" s="31" t="n">
        <v>2</v>
      </c>
      <c r="E23" s="8" t="s">
        <v>238</v>
      </c>
      <c r="F23" s="30" t="n">
        <f aca="false">$B$6*B23</f>
        <v>22310</v>
      </c>
    </row>
    <row r="24" customFormat="false" ht="15" hidden="false" customHeight="true" outlineLevel="0" collapsed="false">
      <c r="A24" s="28" t="s">
        <v>167</v>
      </c>
      <c r="B24" s="32" t="n">
        <v>0.97</v>
      </c>
      <c r="C24" s="31" t="n">
        <v>2</v>
      </c>
      <c r="D24" s="31" t="n">
        <v>2</v>
      </c>
      <c r="E24" s="8" t="s">
        <v>239</v>
      </c>
      <c r="F24" s="30" t="n">
        <f aca="false">$B$6*B24</f>
        <v>22310</v>
      </c>
    </row>
    <row r="25" customFormat="false" ht="15" hidden="false" customHeight="true" outlineLevel="0" collapsed="false">
      <c r="A25" s="28" t="s">
        <v>240</v>
      </c>
      <c r="B25" s="32" t="n">
        <v>1</v>
      </c>
      <c r="C25" s="31" t="n">
        <v>1</v>
      </c>
      <c r="D25" s="31" t="n">
        <v>1</v>
      </c>
      <c r="E25" s="8" t="s">
        <v>240</v>
      </c>
      <c r="F25" s="30" t="n">
        <f aca="false">$B$6*B25</f>
        <v>23000</v>
      </c>
    </row>
    <row r="27" customFormat="false" ht="15" hidden="false" customHeight="true" outlineLevel="0" collapsed="false">
      <c r="A27" s="24" t="s">
        <v>241</v>
      </c>
      <c r="B27" s="25"/>
      <c r="C27" s="25"/>
      <c r="D27" s="25"/>
      <c r="E27" s="25"/>
      <c r="F27" s="25"/>
      <c r="G27" s="25"/>
      <c r="H27" s="25"/>
    </row>
    <row r="28" customFormat="false" ht="31.5" hidden="false" customHeight="true" outlineLevel="0" collapsed="false">
      <c r="A28" s="4" t="s">
        <v>242</v>
      </c>
      <c r="B28" s="4" t="s">
        <v>243</v>
      </c>
      <c r="C28" s="4" t="s">
        <v>244</v>
      </c>
      <c r="D28" s="4" t="s">
        <v>245</v>
      </c>
      <c r="E28" s="4" t="s">
        <v>246</v>
      </c>
      <c r="F28" s="4" t="s">
        <v>57</v>
      </c>
    </row>
    <row r="29" customFormat="false" ht="15" hidden="false" customHeight="true" outlineLevel="0" collapsed="false">
      <c r="A29" s="28" t="s">
        <v>247</v>
      </c>
      <c r="B29" s="29" t="n">
        <v>110</v>
      </c>
      <c r="C29" s="31" t="n">
        <v>6</v>
      </c>
      <c r="D29" s="8" t="s">
        <v>248</v>
      </c>
      <c r="E29" s="8" t="s">
        <v>249</v>
      </c>
      <c r="F29" s="6"/>
    </row>
    <row r="30" customFormat="false" ht="15" hidden="false" customHeight="true" outlineLevel="0" collapsed="false">
      <c r="A30" s="28" t="s">
        <v>250</v>
      </c>
      <c r="B30" s="29" t="n">
        <v>90</v>
      </c>
      <c r="C30" s="31" t="n">
        <v>5</v>
      </c>
      <c r="D30" s="8" t="s">
        <v>251</v>
      </c>
      <c r="E30" s="8" t="s">
        <v>249</v>
      </c>
      <c r="F30" s="6" t="s">
        <v>252</v>
      </c>
    </row>
    <row r="31" customFormat="false" ht="15" hidden="false" customHeight="true" outlineLevel="0" collapsed="false">
      <c r="A31" s="28" t="s">
        <v>253</v>
      </c>
      <c r="B31" s="29" t="n">
        <v>35</v>
      </c>
      <c r="C31" s="31" t="n">
        <v>7</v>
      </c>
      <c r="D31" s="8" t="s">
        <v>248</v>
      </c>
      <c r="E31" s="8" t="s">
        <v>249</v>
      </c>
      <c r="F31" s="6"/>
    </row>
    <row r="32" customFormat="false" ht="15" hidden="false" customHeight="true" outlineLevel="0" collapsed="false">
      <c r="A32" s="28" t="s">
        <v>254</v>
      </c>
      <c r="B32" s="29" t="n">
        <v>80</v>
      </c>
      <c r="C32" s="31" t="n">
        <v>6</v>
      </c>
      <c r="D32" s="8" t="s">
        <v>255</v>
      </c>
      <c r="E32" s="8" t="s">
        <v>249</v>
      </c>
      <c r="F32" s="6" t="s">
        <v>256</v>
      </c>
    </row>
    <row r="33" customFormat="false" ht="15" hidden="false" customHeight="true" outlineLevel="0" collapsed="false">
      <c r="A33" s="28" t="s">
        <v>257</v>
      </c>
      <c r="B33" s="29" t="n">
        <v>0</v>
      </c>
      <c r="C33" s="31" t="n">
        <v>5</v>
      </c>
      <c r="D33" s="8" t="s">
        <v>248</v>
      </c>
      <c r="E33" s="8" t="s">
        <v>249</v>
      </c>
      <c r="F33" s="6" t="s">
        <v>258</v>
      </c>
    </row>
    <row r="34" customFormat="false" ht="15" hidden="false" customHeight="true" outlineLevel="0" collapsed="false">
      <c r="A34" s="28" t="s">
        <v>259</v>
      </c>
      <c r="B34" s="29" t="n">
        <v>25</v>
      </c>
      <c r="C34" s="31" t="n">
        <v>4</v>
      </c>
      <c r="D34" s="8" t="s">
        <v>260</v>
      </c>
      <c r="E34" s="8" t="s">
        <v>249</v>
      </c>
      <c r="F34" s="6" t="s">
        <v>261</v>
      </c>
    </row>
    <row r="35" customFormat="false" ht="15" hidden="false" customHeight="true" outlineLevel="0" collapsed="false">
      <c r="A35" s="28" t="s">
        <v>262</v>
      </c>
      <c r="B35" s="29" t="n">
        <v>20</v>
      </c>
      <c r="C35" s="31" t="n">
        <v>3</v>
      </c>
      <c r="D35" s="8" t="s">
        <v>263</v>
      </c>
      <c r="E35" s="8" t="s">
        <v>249</v>
      </c>
      <c r="F35" s="6" t="s">
        <v>264</v>
      </c>
    </row>
    <row r="36" customFormat="false" ht="15" hidden="false" customHeight="true" outlineLevel="0" collapsed="false">
      <c r="A36" s="28" t="s">
        <v>265</v>
      </c>
      <c r="B36" s="29" t="n">
        <v>40</v>
      </c>
      <c r="C36" s="31" t="n">
        <v>4</v>
      </c>
      <c r="D36" s="8" t="s">
        <v>251</v>
      </c>
      <c r="E36" s="8" t="s">
        <v>266</v>
      </c>
      <c r="F36" s="6"/>
    </row>
    <row r="37" customFormat="false" ht="15" hidden="false" customHeight="true" outlineLevel="0" collapsed="false">
      <c r="A37" s="28" t="s">
        <v>267</v>
      </c>
      <c r="B37" s="29" t="n">
        <v>0</v>
      </c>
      <c r="C37" s="31" t="n">
        <v>6</v>
      </c>
      <c r="D37" s="8" t="s">
        <v>255</v>
      </c>
      <c r="E37" s="8" t="s">
        <v>268</v>
      </c>
      <c r="F37" s="6" t="s">
        <v>269</v>
      </c>
    </row>
    <row r="39" customFormat="false" ht="15" hidden="false" customHeight="true" outlineLevel="0" collapsed="false">
      <c r="A39" s="24" t="s">
        <v>270</v>
      </c>
      <c r="B39" s="25"/>
      <c r="C39" s="25"/>
      <c r="D39" s="25"/>
      <c r="E39" s="25"/>
      <c r="F39" s="25"/>
      <c r="G39" s="25"/>
      <c r="H39" s="25"/>
    </row>
    <row r="40" customFormat="false" ht="31.5" hidden="false" customHeight="true" outlineLevel="0" collapsed="false">
      <c r="A40" s="4" t="s">
        <v>271</v>
      </c>
      <c r="B40" s="4" t="s">
        <v>272</v>
      </c>
      <c r="C40" s="4" t="s">
        <v>273</v>
      </c>
      <c r="D40" s="4" t="s">
        <v>274</v>
      </c>
      <c r="E40" s="4" t="s">
        <v>275</v>
      </c>
      <c r="F40" s="4" t="s">
        <v>276</v>
      </c>
    </row>
    <row r="41" customFormat="false" ht="15" hidden="false" customHeight="true" outlineLevel="0" collapsed="false">
      <c r="A41" s="28" t="s">
        <v>277</v>
      </c>
      <c r="B41" s="29" t="n">
        <v>300</v>
      </c>
      <c r="C41" s="31" t="n">
        <v>30</v>
      </c>
      <c r="D41" s="31" t="n">
        <v>2</v>
      </c>
      <c r="E41" s="6" t="s">
        <v>278</v>
      </c>
      <c r="F41" s="6" t="s">
        <v>279</v>
      </c>
    </row>
    <row r="42" customFormat="false" ht="26.25" hidden="false" customHeight="true" outlineLevel="0" collapsed="false">
      <c r="A42" s="28" t="s">
        <v>280</v>
      </c>
      <c r="B42" s="29" t="n">
        <v>1200</v>
      </c>
      <c r="C42" s="31" t="n">
        <v>7</v>
      </c>
      <c r="D42" s="31" t="n">
        <v>3</v>
      </c>
      <c r="E42" s="6" t="s">
        <v>281</v>
      </c>
      <c r="F42" s="6" t="s">
        <v>282</v>
      </c>
    </row>
    <row r="43" customFormat="false" ht="15" hidden="false" customHeight="true" outlineLevel="0" collapsed="false">
      <c r="A43" s="28" t="s">
        <v>283</v>
      </c>
      <c r="B43" s="29" t="n">
        <v>0</v>
      </c>
      <c r="C43" s="31" t="n">
        <v>5</v>
      </c>
      <c r="D43" s="31" t="n">
        <v>2</v>
      </c>
      <c r="E43" s="6" t="s">
        <v>22</v>
      </c>
      <c r="F43" s="6" t="s">
        <v>284</v>
      </c>
    </row>
    <row r="44" customFormat="false" ht="15" hidden="false" customHeight="true" outlineLevel="0" collapsed="false">
      <c r="A44" s="28" t="s">
        <v>285</v>
      </c>
      <c r="B44" s="29" t="n">
        <v>0</v>
      </c>
      <c r="C44" s="31" t="n">
        <v>20</v>
      </c>
      <c r="D44" s="31" t="n">
        <v>4</v>
      </c>
      <c r="E44" s="6" t="s">
        <v>278</v>
      </c>
      <c r="F44" s="6" t="s">
        <v>286</v>
      </c>
    </row>
    <row r="45" customFormat="false" ht="15" hidden="false" customHeight="true" outlineLevel="0" collapsed="false">
      <c r="A45" s="28" t="s">
        <v>287</v>
      </c>
      <c r="B45" s="29" t="n">
        <v>15000</v>
      </c>
      <c r="C45" s="31" t="n">
        <v>45</v>
      </c>
      <c r="D45" s="31" t="n">
        <v>5</v>
      </c>
      <c r="E45" s="6" t="s">
        <v>288</v>
      </c>
      <c r="F45" s="6" t="s">
        <v>289</v>
      </c>
    </row>
    <row r="47" customFormat="false" ht="15" hidden="false" customHeight="true" outlineLevel="0" collapsed="false">
      <c r="A47" s="24" t="s">
        <v>290</v>
      </c>
      <c r="B47" s="25"/>
      <c r="C47" s="25"/>
      <c r="D47" s="25"/>
      <c r="E47" s="25"/>
      <c r="F47" s="25"/>
      <c r="G47" s="25"/>
      <c r="H47" s="25"/>
    </row>
    <row r="48" customFormat="false" ht="31.5" hidden="false" customHeight="true" outlineLevel="0" collapsed="false">
      <c r="A48" s="4" t="s">
        <v>291</v>
      </c>
      <c r="B48" s="4" t="s">
        <v>292</v>
      </c>
      <c r="C48" s="4" t="s">
        <v>57</v>
      </c>
    </row>
    <row r="49" customFormat="false" ht="15" hidden="false" customHeight="true" outlineLevel="0" collapsed="false">
      <c r="A49" s="28" t="s">
        <v>293</v>
      </c>
      <c r="B49" s="34" t="n">
        <v>5</v>
      </c>
      <c r="C49" s="6"/>
    </row>
    <row r="50" customFormat="false" ht="15" hidden="false" customHeight="true" outlineLevel="0" collapsed="false">
      <c r="A50" s="28" t="s">
        <v>294</v>
      </c>
      <c r="B50" s="34" t="n">
        <v>4</v>
      </c>
      <c r="C50" s="6" t="s">
        <v>295</v>
      </c>
    </row>
    <row r="51" customFormat="false" ht="15" hidden="false" customHeight="true" outlineLevel="0" collapsed="false">
      <c r="A51" s="28" t="s">
        <v>296</v>
      </c>
      <c r="B51" s="34" t="n">
        <v>6</v>
      </c>
      <c r="C51" s="6"/>
    </row>
    <row r="52" customFormat="false" ht="15" hidden="false" customHeight="true" outlineLevel="0" collapsed="false">
      <c r="A52" s="28" t="s">
        <v>297</v>
      </c>
      <c r="B52" s="34" t="n">
        <v>3</v>
      </c>
      <c r="C52" s="6" t="s">
        <v>298</v>
      </c>
    </row>
    <row r="53" customFormat="false" ht="15" hidden="false" customHeight="true" outlineLevel="0" collapsed="false">
      <c r="A53" s="28" t="s">
        <v>299</v>
      </c>
      <c r="B53" s="34" t="n">
        <v>-12</v>
      </c>
      <c r="C53" s="6"/>
    </row>
    <row r="54" customFormat="false" ht="26.25" hidden="false" customHeight="true" outlineLevel="0" collapsed="false">
      <c r="A54" s="28" t="s">
        <v>300</v>
      </c>
      <c r="B54" s="34" t="n">
        <v>-15</v>
      </c>
      <c r="C54" s="6" t="s">
        <v>301</v>
      </c>
    </row>
    <row r="55" customFormat="false" ht="15" hidden="false" customHeight="true" outlineLevel="0" collapsed="false">
      <c r="A55" s="28" t="s">
        <v>302</v>
      </c>
      <c r="B55" s="34" t="n">
        <v>-10</v>
      </c>
      <c r="C55" s="6"/>
    </row>
    <row r="56" customFormat="false" ht="15" hidden="false" customHeight="true" outlineLevel="0" collapsed="false">
      <c r="A56" s="28" t="s">
        <v>303</v>
      </c>
      <c r="B56" s="34" t="n">
        <v>-6</v>
      </c>
      <c r="C56" s="6"/>
    </row>
    <row r="57" customFormat="false" ht="15" hidden="false" customHeight="true" outlineLevel="0" collapsed="false">
      <c r="A57" s="28" t="s">
        <v>304</v>
      </c>
      <c r="B57" s="34" t="n">
        <v>-4</v>
      </c>
      <c r="C57" s="6" t="s">
        <v>305</v>
      </c>
    </row>
    <row r="59" customFormat="false" ht="15" hidden="false" customHeight="true" outlineLevel="0" collapsed="false">
      <c r="A59" s="24" t="s">
        <v>306</v>
      </c>
      <c r="B59" s="25"/>
      <c r="C59" s="25"/>
      <c r="D59" s="25"/>
      <c r="E59" s="25"/>
      <c r="F59" s="25"/>
      <c r="G59" s="25"/>
      <c r="H59" s="25"/>
    </row>
    <row r="60" customFormat="false" ht="15" hidden="false" customHeight="true" outlineLevel="0" collapsed="false">
      <c r="A60" s="28" t="s">
        <v>77</v>
      </c>
      <c r="B60" s="35" t="s">
        <v>210</v>
      </c>
    </row>
    <row r="61" customFormat="false" ht="15" hidden="false" customHeight="true" outlineLevel="0" collapsed="false">
      <c r="A61" s="28" t="s">
        <v>78</v>
      </c>
      <c r="B61" s="35" t="s">
        <v>106</v>
      </c>
    </row>
    <row r="62" customFormat="false" ht="15" hidden="false" customHeight="true" outlineLevel="0" collapsed="false">
      <c r="A62" s="28" t="s">
        <v>307</v>
      </c>
      <c r="B62" s="29" t="n">
        <v>25000</v>
      </c>
    </row>
    <row r="63" customFormat="false" ht="15" hidden="false" customHeight="true" outlineLevel="0" collapsed="false">
      <c r="A63" s="28" t="s">
        <v>308</v>
      </c>
      <c r="B63" s="36" t="n">
        <f aca="false">SUM(C29:C31)</f>
        <v>18</v>
      </c>
      <c r="C63" s="37" t="s">
        <v>309</v>
      </c>
    </row>
    <row r="64" customFormat="false" ht="15" hidden="false" customHeight="true" outlineLevel="0" collapsed="false">
      <c r="A64" s="28" t="s">
        <v>310</v>
      </c>
      <c r="B64" s="31" t="n">
        <v>50</v>
      </c>
    </row>
    <row r="65" customFormat="false" ht="15" hidden="false" customHeight="true" outlineLevel="0" collapsed="false">
      <c r="A65" s="28" t="s">
        <v>311</v>
      </c>
      <c r="B65" s="31" t="n">
        <v>5</v>
      </c>
    </row>
    <row r="66" customFormat="false" ht="15" hidden="false" customHeight="true" outlineLevel="0" collapsed="false">
      <c r="A66" s="28" t="s">
        <v>312</v>
      </c>
      <c r="B66" s="31" t="n">
        <v>55</v>
      </c>
    </row>
    <row r="67" customFormat="false" ht="15" hidden="false" customHeight="true" outlineLevel="0" collapsed="false">
      <c r="A67" s="28" t="s">
        <v>313</v>
      </c>
      <c r="B67" s="30" t="n">
        <f aca="false">INDEX($B$6:$B$12,MATCH(B60,$A$6:$A$12,0))*INDEX($B$16:$B$25,MATCH(B61,$A$16:$A$25,0))</f>
        <v>25300</v>
      </c>
    </row>
    <row r="68" customFormat="false" ht="15" hidden="false" customHeight="true" outlineLevel="0" collapsed="false">
      <c r="A68" s="28" t="s">
        <v>314</v>
      </c>
      <c r="B68" s="38" t="n">
        <f aca="false">MAX(-30,MIN(30,(B62/B67-1)*200))</f>
        <v>-2.37154150197632</v>
      </c>
      <c r="C68" s="37" t="s">
        <v>315</v>
      </c>
    </row>
    <row r="69" customFormat="false" ht="15" hidden="false" customHeight="true" outlineLevel="0" collapsed="false">
      <c r="A69" s="28" t="s">
        <v>316</v>
      </c>
      <c r="B69" s="38" t="n">
        <f aca="false">30+B68+B63+(B64-50)*0.5+B65</f>
        <v>50.6284584980237</v>
      </c>
      <c r="C69" s="37" t="s">
        <v>317</v>
      </c>
    </row>
    <row r="70" customFormat="false" ht="15" hidden="false" customHeight="true" outlineLevel="0" collapsed="false">
      <c r="A70" s="28" t="s">
        <v>318</v>
      </c>
      <c r="B70" s="39" t="n">
        <f aca="false">MAX(0,MIN(1,0.5+(B69-B66)/30))</f>
        <v>0.354281949934123</v>
      </c>
      <c r="C70" s="37" t="s">
        <v>319</v>
      </c>
    </row>
    <row r="71" customFormat="false" ht="15" hidden="false" customHeight="true" outlineLevel="0" collapsed="false">
      <c r="A71" s="28" t="s">
        <v>320</v>
      </c>
      <c r="B71" s="30" t="n">
        <f aca="false">B62*$H$6+SUM(B29:B31)*12</f>
        <v>38320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14"/>
    <col collapsed="false" customWidth="true" hidden="false" outlineLevel="0" max="7" min="6" style="1" width="11"/>
    <col collapsed="false" customWidth="true" hidden="false" outlineLevel="0" max="8" min="8" style="1" width="15"/>
    <col collapsed="false" customWidth="true" hidden="false" outlineLevel="0" max="9" min="9" style="1" width="14"/>
    <col collapsed="false" customWidth="true" hidden="false" outlineLevel="0" max="10" min="10" style="1" width="15"/>
    <col collapsed="false" customWidth="true" hidden="false" outlineLevel="0" max="12" min="11" style="1" width="11"/>
    <col collapsed="false" customWidth="true" hidden="false" outlineLevel="0" max="13" min="13" style="1" width="13"/>
    <col collapsed="false" customWidth="true" hidden="false" outlineLevel="0" max="14" min="14" style="1" width="40"/>
  </cols>
  <sheetData>
    <row r="1" customFormat="false" ht="17.25" hidden="false" customHeight="true" outlineLevel="0" collapsed="false">
      <c r="A1" s="2" t="s">
        <v>321</v>
      </c>
    </row>
    <row r="2" customFormat="false" ht="15" hidden="false" customHeight="true" outlineLevel="0" collapsed="false">
      <c r="A2" s="3" t="s">
        <v>322</v>
      </c>
    </row>
    <row r="4" customFormat="false" ht="15" hidden="false" customHeight="true" outlineLevel="0" collapsed="false">
      <c r="A4" s="24" t="s">
        <v>323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customFormat="false" ht="15" hidden="false" customHeight="true" outlineLevel="0" collapsed="false">
      <c r="A5" s="28" t="s">
        <v>324</v>
      </c>
      <c r="B5" s="31" t="n">
        <v>5</v>
      </c>
    </row>
    <row r="6" customFormat="false" ht="15" hidden="false" customHeight="true" outlineLevel="0" collapsed="false">
      <c r="A6" s="28" t="s">
        <v>325</v>
      </c>
      <c r="B6" s="40" t="n">
        <v>0.05</v>
      </c>
    </row>
    <row r="7" customFormat="false" ht="15" hidden="false" customHeight="true" outlineLevel="0" collapsed="false">
      <c r="A7" s="28" t="s">
        <v>326</v>
      </c>
      <c r="B7" s="40" t="n">
        <v>0.4</v>
      </c>
    </row>
    <row r="8" customFormat="false" ht="15" hidden="false" customHeight="true" outlineLevel="0" collapsed="false">
      <c r="A8" s="28" t="s">
        <v>327</v>
      </c>
      <c r="B8" s="40" t="n">
        <v>0.18</v>
      </c>
    </row>
    <row r="10" customFormat="false" ht="31.5" hidden="false" customHeight="true" outlineLevel="0" collapsed="false">
      <c r="A10" s="4" t="s">
        <v>328</v>
      </c>
      <c r="B10" s="4" t="s">
        <v>16</v>
      </c>
      <c r="C10" s="4" t="s">
        <v>329</v>
      </c>
      <c r="D10" s="4" t="s">
        <v>330</v>
      </c>
      <c r="E10" s="4" t="s">
        <v>331</v>
      </c>
      <c r="F10" s="4" t="s">
        <v>332</v>
      </c>
      <c r="G10" s="4" t="s">
        <v>333</v>
      </c>
      <c r="H10" s="4" t="s">
        <v>334</v>
      </c>
      <c r="I10" s="4" t="s">
        <v>335</v>
      </c>
      <c r="J10" s="4" t="s">
        <v>336</v>
      </c>
      <c r="K10" s="4" t="s">
        <v>337</v>
      </c>
      <c r="L10" s="4" t="s">
        <v>338</v>
      </c>
      <c r="M10" s="4" t="s">
        <v>339</v>
      </c>
      <c r="N10" s="4" t="s">
        <v>176</v>
      </c>
    </row>
    <row r="11" customFormat="false" ht="15" hidden="false" customHeight="true" outlineLevel="0" collapsed="false">
      <c r="A11" s="8" t="s">
        <v>340</v>
      </c>
      <c r="B11" s="28" t="s">
        <v>341</v>
      </c>
      <c r="C11" s="31" t="n">
        <v>2002</v>
      </c>
      <c r="D11" s="6" t="s">
        <v>342</v>
      </c>
      <c r="E11" s="29" t="n">
        <v>15000</v>
      </c>
      <c r="F11" s="31" t="n">
        <v>2</v>
      </c>
      <c r="G11" s="38" t="n">
        <f aca="false">ROUND(F11*MAX(0.4,1-$B$5*$B$6),1)</f>
        <v>1.5</v>
      </c>
      <c r="H11" s="29" t="n">
        <v>5000</v>
      </c>
      <c r="I11" s="29" t="n">
        <v>300</v>
      </c>
      <c r="J11" s="30" t="n">
        <f aca="false">H11*IF(C11&gt;=2017,1-$B$7,1)+I11*12</f>
        <v>8600</v>
      </c>
      <c r="K11" s="34" t="n">
        <v>1</v>
      </c>
      <c r="L11" s="34" t="n">
        <v>1</v>
      </c>
      <c r="M11" s="31" t="n">
        <v>2</v>
      </c>
      <c r="N11" s="6"/>
    </row>
    <row r="12" customFormat="false" ht="15" hidden="false" customHeight="true" outlineLevel="0" collapsed="false">
      <c r="A12" s="8" t="s">
        <v>340</v>
      </c>
      <c r="B12" s="28" t="s">
        <v>343</v>
      </c>
      <c r="C12" s="31" t="n">
        <v>2002</v>
      </c>
      <c r="D12" s="6" t="s">
        <v>341</v>
      </c>
      <c r="E12" s="29" t="n">
        <v>40000</v>
      </c>
      <c r="F12" s="31" t="n">
        <v>4</v>
      </c>
      <c r="G12" s="38" t="n">
        <f aca="false">ROUND(F12*MAX(0.4,1-$B$5*$B$6),1)</f>
        <v>3</v>
      </c>
      <c r="H12" s="29" t="n">
        <v>25000</v>
      </c>
      <c r="I12" s="29" t="n">
        <v>800</v>
      </c>
      <c r="J12" s="30" t="n">
        <f aca="false">H12*IF(C12&gt;=2017,1-$B$7,1)+I12*12</f>
        <v>34600</v>
      </c>
      <c r="K12" s="34" t="n">
        <v>1</v>
      </c>
      <c r="L12" s="34" t="n">
        <v>3</v>
      </c>
      <c r="M12" s="31" t="n">
        <v>6</v>
      </c>
      <c r="N12" s="6" t="s">
        <v>344</v>
      </c>
    </row>
    <row r="13" customFormat="false" ht="15" hidden="false" customHeight="true" outlineLevel="0" collapsed="false">
      <c r="A13" s="8" t="s">
        <v>340</v>
      </c>
      <c r="B13" s="28" t="s">
        <v>345</v>
      </c>
      <c r="C13" s="31" t="n">
        <v>2003</v>
      </c>
      <c r="D13" s="6" t="s">
        <v>341</v>
      </c>
      <c r="E13" s="29" t="n">
        <v>30000</v>
      </c>
      <c r="F13" s="31" t="n">
        <v>3</v>
      </c>
      <c r="G13" s="38" t="n">
        <f aca="false">ROUND(F13*MAX(0.4,1-$B$5*$B$6),1)</f>
        <v>2.3</v>
      </c>
      <c r="H13" s="29" t="n">
        <v>5000</v>
      </c>
      <c r="I13" s="29" t="n">
        <v>400</v>
      </c>
      <c r="J13" s="30" t="n">
        <f aca="false">H13*IF(C13&gt;=2017,1-$B$7,1)+I13*12</f>
        <v>9800</v>
      </c>
      <c r="K13" s="34" t="n">
        <v>2</v>
      </c>
      <c r="L13" s="34" t="n">
        <v>1</v>
      </c>
      <c r="M13" s="31" t="n">
        <v>3</v>
      </c>
      <c r="N13" s="6" t="s">
        <v>346</v>
      </c>
    </row>
    <row r="14" customFormat="false" ht="15" hidden="false" customHeight="true" outlineLevel="0" collapsed="false">
      <c r="A14" s="8" t="s">
        <v>340</v>
      </c>
      <c r="B14" s="28" t="s">
        <v>347</v>
      </c>
      <c r="C14" s="31" t="n">
        <v>2010</v>
      </c>
      <c r="D14" s="6" t="s">
        <v>343</v>
      </c>
      <c r="E14" s="29" t="n">
        <v>90000</v>
      </c>
      <c r="F14" s="31" t="n">
        <v>6</v>
      </c>
      <c r="G14" s="38" t="n">
        <f aca="false">ROUND(F14*MAX(0.4,1-$B$5*$B$6),1)</f>
        <v>4.5</v>
      </c>
      <c r="H14" s="29" t="n">
        <v>40000</v>
      </c>
      <c r="I14" s="29" t="n">
        <v>1500</v>
      </c>
      <c r="J14" s="30" t="n">
        <f aca="false">H14*IF(C14&gt;=2017,1-$B$7,1)+I14*12</f>
        <v>58000</v>
      </c>
      <c r="K14" s="34" t="n">
        <v>1</v>
      </c>
      <c r="L14" s="34" t="n">
        <v>3</v>
      </c>
      <c r="M14" s="31" t="n">
        <v>8</v>
      </c>
      <c r="N14" s="6" t="s">
        <v>348</v>
      </c>
    </row>
    <row r="15" customFormat="false" ht="15" hidden="false" customHeight="true" outlineLevel="0" collapsed="false">
      <c r="A15" s="8" t="s">
        <v>349</v>
      </c>
      <c r="B15" s="28" t="s">
        <v>350</v>
      </c>
      <c r="C15" s="31" t="n">
        <v>2002</v>
      </c>
      <c r="D15" s="6" t="s">
        <v>342</v>
      </c>
      <c r="E15" s="29" t="n">
        <v>10000</v>
      </c>
      <c r="F15" s="31" t="n">
        <v>1</v>
      </c>
      <c r="G15" s="38" t="n">
        <f aca="false">ROUND(F15*MAX(0.4,1-$B$5*$B$6),1)</f>
        <v>0.8</v>
      </c>
      <c r="H15" s="29" t="n">
        <v>12000</v>
      </c>
      <c r="I15" s="29" t="n">
        <v>150</v>
      </c>
      <c r="J15" s="30" t="n">
        <f aca="false">H15*IF(C15&gt;=2017,1-$B$7,1)+I15*12</f>
        <v>13800</v>
      </c>
      <c r="K15" s="34" t="n">
        <v>0</v>
      </c>
      <c r="L15" s="34" t="n">
        <v>2</v>
      </c>
      <c r="M15" s="31" t="n">
        <v>2</v>
      </c>
      <c r="N15" s="6"/>
    </row>
    <row r="16" customFormat="false" ht="15" hidden="false" customHeight="true" outlineLevel="0" collapsed="false">
      <c r="A16" s="8" t="s">
        <v>349</v>
      </c>
      <c r="B16" s="28" t="s">
        <v>351</v>
      </c>
      <c r="C16" s="31" t="n">
        <v>2004</v>
      </c>
      <c r="D16" s="6" t="s">
        <v>352</v>
      </c>
      <c r="E16" s="29" t="n">
        <v>25000</v>
      </c>
      <c r="F16" s="31" t="n">
        <v>3</v>
      </c>
      <c r="G16" s="38" t="n">
        <f aca="false">ROUND(F16*MAX(0.4,1-$B$5*$B$6),1)</f>
        <v>2.3</v>
      </c>
      <c r="H16" s="29" t="n">
        <v>30000</v>
      </c>
      <c r="I16" s="29" t="n">
        <v>400</v>
      </c>
      <c r="J16" s="30" t="n">
        <f aca="false">H16*IF(C16&gt;=2017,1-$B$7,1)+I16*12</f>
        <v>34800</v>
      </c>
      <c r="K16" s="34" t="n">
        <v>1</v>
      </c>
      <c r="L16" s="34" t="n">
        <v>2</v>
      </c>
      <c r="M16" s="31" t="n">
        <v>4</v>
      </c>
      <c r="N16" s="6"/>
    </row>
    <row r="17" customFormat="false" ht="15" hidden="false" customHeight="true" outlineLevel="0" collapsed="false">
      <c r="A17" s="8" t="s">
        <v>349</v>
      </c>
      <c r="B17" s="28" t="s">
        <v>353</v>
      </c>
      <c r="C17" s="31" t="n">
        <v>2008</v>
      </c>
      <c r="D17" s="6" t="s">
        <v>351</v>
      </c>
      <c r="E17" s="29" t="n">
        <v>40000</v>
      </c>
      <c r="F17" s="31" t="n">
        <v>4</v>
      </c>
      <c r="G17" s="38" t="n">
        <f aca="false">ROUND(F17*MAX(0.4,1-$B$5*$B$6),1)</f>
        <v>3</v>
      </c>
      <c r="H17" s="29" t="n">
        <v>80000</v>
      </c>
      <c r="I17" s="29" t="n">
        <v>600</v>
      </c>
      <c r="J17" s="30" t="n">
        <f aca="false">H17*IF(C17&gt;=2017,1-$B$7,1)+I17*12</f>
        <v>87200</v>
      </c>
      <c r="K17" s="34" t="n">
        <v>1</v>
      </c>
      <c r="L17" s="34" t="n">
        <v>3</v>
      </c>
      <c r="M17" s="31" t="n">
        <v>4</v>
      </c>
      <c r="N17" s="6" t="s">
        <v>354</v>
      </c>
    </row>
    <row r="18" customFormat="false" ht="15" hidden="false" customHeight="true" outlineLevel="0" collapsed="false">
      <c r="A18" s="8" t="s">
        <v>349</v>
      </c>
      <c r="B18" s="28" t="s">
        <v>355</v>
      </c>
      <c r="C18" s="31" t="n">
        <v>2012</v>
      </c>
      <c r="D18" s="6" t="s">
        <v>347</v>
      </c>
      <c r="E18" s="29" t="n">
        <v>80000</v>
      </c>
      <c r="F18" s="31" t="n">
        <v>6</v>
      </c>
      <c r="G18" s="38" t="n">
        <f aca="false">ROUND(F18*MAX(0.4,1-$B$5*$B$6),1)</f>
        <v>4.5</v>
      </c>
      <c r="H18" s="29" t="n">
        <v>400000</v>
      </c>
      <c r="I18" s="29" t="n">
        <v>2500</v>
      </c>
      <c r="J18" s="30" t="n">
        <f aca="false">H18*IF(C18&gt;=2017,1-$B$7,1)+I18*12</f>
        <v>430000</v>
      </c>
      <c r="K18" s="34" t="n">
        <v>1</v>
      </c>
      <c r="L18" s="34" t="n">
        <v>2</v>
      </c>
      <c r="M18" s="31" t="n">
        <v>10</v>
      </c>
      <c r="N18" s="6" t="s">
        <v>356</v>
      </c>
    </row>
    <row r="19" customFormat="false" ht="26.25" hidden="false" customHeight="true" outlineLevel="0" collapsed="false">
      <c r="A19" s="8" t="s">
        <v>349</v>
      </c>
      <c r="B19" s="28" t="s">
        <v>357</v>
      </c>
      <c r="C19" s="31" t="n">
        <v>2018</v>
      </c>
      <c r="D19" s="6" t="s">
        <v>355</v>
      </c>
      <c r="E19" s="29" t="n">
        <v>150000</v>
      </c>
      <c r="F19" s="31" t="n">
        <v>8</v>
      </c>
      <c r="G19" s="38" t="n">
        <f aca="false">ROUND(F19*MAX(0.4,1-$B$5*$B$6),1)</f>
        <v>6</v>
      </c>
      <c r="H19" s="29" t="n">
        <v>600000</v>
      </c>
      <c r="I19" s="29" t="n">
        <v>4000</v>
      </c>
      <c r="J19" s="30" t="n">
        <f aca="false">H19*IF(C19&gt;=2017,1-$B$7,1)+I19*12</f>
        <v>408000</v>
      </c>
      <c r="K19" s="34" t="n">
        <v>1</v>
      </c>
      <c r="L19" s="34" t="n">
        <v>2</v>
      </c>
      <c r="M19" s="31" t="n">
        <v>12</v>
      </c>
      <c r="N19" s="6" t="s">
        <v>358</v>
      </c>
    </row>
    <row r="20" customFormat="false" ht="15" hidden="false" customHeight="true" outlineLevel="0" collapsed="false">
      <c r="A20" s="8" t="s">
        <v>359</v>
      </c>
      <c r="B20" s="28" t="s">
        <v>360</v>
      </c>
      <c r="C20" s="31" t="n">
        <v>2004</v>
      </c>
      <c r="D20" s="6" t="s">
        <v>342</v>
      </c>
      <c r="E20" s="29" t="n">
        <v>20000</v>
      </c>
      <c r="F20" s="31" t="n">
        <v>2</v>
      </c>
      <c r="G20" s="38" t="n">
        <f aca="false">ROUND(F20*MAX(0.4,1-$B$5*$B$6),1)</f>
        <v>1.5</v>
      </c>
      <c r="H20" s="29" t="n">
        <v>10000</v>
      </c>
      <c r="I20" s="29" t="n">
        <v>500</v>
      </c>
      <c r="J20" s="30" t="n">
        <f aca="false">H20*IF(C20&gt;=2017,1-$B$7,1)+I20*12</f>
        <v>16000</v>
      </c>
      <c r="K20" s="34" t="n">
        <v>2</v>
      </c>
      <c r="L20" s="34" t="n">
        <v>0</v>
      </c>
      <c r="M20" s="31" t="n">
        <v>3</v>
      </c>
      <c r="N20" s="6" t="s">
        <v>361</v>
      </c>
    </row>
    <row r="21" customFormat="false" ht="15" hidden="false" customHeight="true" outlineLevel="0" collapsed="false">
      <c r="A21" s="8" t="s">
        <v>359</v>
      </c>
      <c r="B21" s="28" t="s">
        <v>362</v>
      </c>
      <c r="C21" s="31" t="n">
        <v>2007</v>
      </c>
      <c r="D21" s="6" t="s">
        <v>360</v>
      </c>
      <c r="E21" s="29" t="n">
        <v>50000</v>
      </c>
      <c r="F21" s="31" t="n">
        <v>5</v>
      </c>
      <c r="G21" s="38" t="n">
        <f aca="false">ROUND(F21*MAX(0.4,1-$B$5*$B$6),1)</f>
        <v>3.8</v>
      </c>
      <c r="H21" s="29" t="n">
        <v>15000</v>
      </c>
      <c r="I21" s="29" t="n">
        <v>600</v>
      </c>
      <c r="J21" s="30" t="n">
        <f aca="false">H21*IF(C21&gt;=2017,1-$B$7,1)+I21*12</f>
        <v>22200</v>
      </c>
      <c r="K21" s="34" t="n">
        <v>3</v>
      </c>
      <c r="L21" s="34" t="n">
        <v>0</v>
      </c>
      <c r="M21" s="31" t="n">
        <v>6</v>
      </c>
      <c r="N21" s="6" t="s">
        <v>363</v>
      </c>
    </row>
    <row r="22" customFormat="false" ht="15" hidden="false" customHeight="true" outlineLevel="0" collapsed="false">
      <c r="A22" s="8" t="s">
        <v>359</v>
      </c>
      <c r="B22" s="28" t="s">
        <v>364</v>
      </c>
      <c r="C22" s="31" t="n">
        <v>2014</v>
      </c>
      <c r="D22" s="6" t="s">
        <v>342</v>
      </c>
      <c r="E22" s="29" t="n">
        <v>60000</v>
      </c>
      <c r="F22" s="31" t="n">
        <v>6</v>
      </c>
      <c r="G22" s="38" t="n">
        <f aca="false">ROUND(F22*MAX(0.4,1-$B$5*$B$6),1)</f>
        <v>4.5</v>
      </c>
      <c r="H22" s="29" t="n">
        <v>50000</v>
      </c>
      <c r="I22" s="29" t="n">
        <v>300</v>
      </c>
      <c r="J22" s="30" t="n">
        <f aca="false">H22*IF(C22&gt;=2017,1-$B$7,1)+I22*12</f>
        <v>53600</v>
      </c>
      <c r="K22" s="34" t="n">
        <v>0</v>
      </c>
      <c r="L22" s="34" t="n">
        <v>0</v>
      </c>
      <c r="M22" s="31" t="n">
        <v>2</v>
      </c>
      <c r="N22" s="6" t="s">
        <v>365</v>
      </c>
    </row>
    <row r="23" customFormat="false" ht="15" hidden="false" customHeight="true" outlineLevel="0" collapsed="false">
      <c r="A23" s="8" t="s">
        <v>359</v>
      </c>
      <c r="B23" s="28" t="s">
        <v>366</v>
      </c>
      <c r="C23" s="31" t="n">
        <v>2020</v>
      </c>
      <c r="D23" s="6" t="s">
        <v>360</v>
      </c>
      <c r="E23" s="29" t="n">
        <v>80000</v>
      </c>
      <c r="F23" s="31" t="n">
        <v>6</v>
      </c>
      <c r="G23" s="38" t="n">
        <f aca="false">ROUND(F23*MAX(0.4,1-$B$5*$B$6),1)</f>
        <v>4.5</v>
      </c>
      <c r="H23" s="29" t="n">
        <v>90000</v>
      </c>
      <c r="I23" s="29" t="n">
        <v>800</v>
      </c>
      <c r="J23" s="30" t="n">
        <f aca="false">H23*IF(C23&gt;=2017,1-$B$7,1)+I23*12</f>
        <v>63600</v>
      </c>
      <c r="K23" s="34" t="n">
        <v>0</v>
      </c>
      <c r="L23" s="34" t="n">
        <v>0</v>
      </c>
      <c r="M23" s="31" t="n">
        <v>4</v>
      </c>
      <c r="N23" s="6" t="s">
        <v>367</v>
      </c>
    </row>
    <row r="24" customFormat="false" ht="15" hidden="false" customHeight="true" outlineLevel="0" collapsed="false">
      <c r="A24" s="8" t="s">
        <v>368</v>
      </c>
      <c r="B24" s="28" t="s">
        <v>369</v>
      </c>
      <c r="C24" s="31" t="n">
        <v>2006</v>
      </c>
      <c r="D24" s="6" t="s">
        <v>341</v>
      </c>
      <c r="E24" s="29" t="n">
        <v>20000</v>
      </c>
      <c r="F24" s="31" t="n">
        <v>2</v>
      </c>
      <c r="G24" s="38" t="n">
        <f aca="false">ROUND(F24*MAX(0.4,1-$B$5*$B$6),1)</f>
        <v>1.5</v>
      </c>
      <c r="H24" s="29" t="n">
        <v>3000</v>
      </c>
      <c r="I24" s="29" t="n">
        <v>200</v>
      </c>
      <c r="J24" s="30" t="n">
        <f aca="false">H24*IF(C24&gt;=2017,1-$B$7,1)+I24*12</f>
        <v>5400</v>
      </c>
      <c r="K24" s="34" t="n">
        <v>1</v>
      </c>
      <c r="L24" s="34" t="n">
        <v>1</v>
      </c>
      <c r="M24" s="31" t="n">
        <v>2</v>
      </c>
      <c r="N24" s="6" t="s">
        <v>370</v>
      </c>
    </row>
    <row r="25" customFormat="false" ht="26.25" hidden="false" customHeight="true" outlineLevel="0" collapsed="false">
      <c r="A25" s="8" t="s">
        <v>368</v>
      </c>
      <c r="B25" s="28" t="s">
        <v>371</v>
      </c>
      <c r="C25" s="31" t="n">
        <v>2013</v>
      </c>
      <c r="D25" s="6" t="s">
        <v>372</v>
      </c>
      <c r="E25" s="29" t="n">
        <v>70000</v>
      </c>
      <c r="F25" s="31" t="n">
        <v>6</v>
      </c>
      <c r="G25" s="38" t="n">
        <f aca="false">ROUND(F25*MAX(0.4,1-$B$5*$B$6),1)</f>
        <v>4.5</v>
      </c>
      <c r="H25" s="29" t="n">
        <v>10000</v>
      </c>
      <c r="I25" s="29" t="n">
        <v>700</v>
      </c>
      <c r="J25" s="30" t="n">
        <f aca="false">H25*IF(C25&gt;=2017,1-$B$7,1)+I25*12</f>
        <v>18400</v>
      </c>
      <c r="K25" s="34" t="n">
        <v>2</v>
      </c>
      <c r="L25" s="34" t="n">
        <v>1</v>
      </c>
      <c r="M25" s="31" t="n">
        <v>6</v>
      </c>
      <c r="N25" s="6" t="s">
        <v>373</v>
      </c>
    </row>
    <row r="26" customFormat="false" ht="26.25" hidden="false" customHeight="true" outlineLevel="0" collapsed="false">
      <c r="A26" s="8" t="s">
        <v>368</v>
      </c>
      <c r="B26" s="28" t="s">
        <v>374</v>
      </c>
      <c r="C26" s="31" t="n">
        <v>2022</v>
      </c>
      <c r="D26" s="6" t="s">
        <v>375</v>
      </c>
      <c r="E26" s="29" t="n">
        <v>200000</v>
      </c>
      <c r="F26" s="31" t="n">
        <v>9</v>
      </c>
      <c r="G26" s="38" t="n">
        <f aca="false">ROUND(F26*MAX(0.4,1-$B$5*$B$6),1)</f>
        <v>6.8</v>
      </c>
      <c r="H26" s="29" t="n">
        <v>30000</v>
      </c>
      <c r="I26" s="29" t="n">
        <v>2000</v>
      </c>
      <c r="J26" s="30" t="n">
        <f aca="false">H26*IF(C26&gt;=2017,1-$B$7,1)+I26*12</f>
        <v>42000</v>
      </c>
      <c r="K26" s="34" t="n">
        <v>3</v>
      </c>
      <c r="L26" s="34" t="n">
        <v>2</v>
      </c>
      <c r="M26" s="31" t="n">
        <v>10</v>
      </c>
      <c r="N26" s="6"/>
    </row>
    <row r="27" customFormat="false" ht="15" hidden="false" customHeight="true" outlineLevel="0" collapsed="false">
      <c r="A27" s="8" t="s">
        <v>376</v>
      </c>
      <c r="B27" s="28" t="s">
        <v>377</v>
      </c>
      <c r="C27" s="31" t="n">
        <v>2002</v>
      </c>
      <c r="D27" s="6" t="s">
        <v>342</v>
      </c>
      <c r="E27" s="29" t="n">
        <v>8000</v>
      </c>
      <c r="F27" s="31" t="n">
        <v>1</v>
      </c>
      <c r="G27" s="38" t="n">
        <f aca="false">ROUND(F27*MAX(0.4,1-$B$5*$B$6),1)</f>
        <v>0.8</v>
      </c>
      <c r="H27" s="29" t="n">
        <v>4000</v>
      </c>
      <c r="I27" s="29" t="n">
        <v>250</v>
      </c>
      <c r="J27" s="30" t="n">
        <f aca="false">H27*IF(C27&gt;=2017,1-$B$7,1)+I27*12</f>
        <v>7000</v>
      </c>
      <c r="K27" s="34" t="n">
        <v>0</v>
      </c>
      <c r="L27" s="34" t="n">
        <v>1</v>
      </c>
      <c r="M27" s="31" t="n">
        <v>1</v>
      </c>
      <c r="N27" s="6" t="s">
        <v>378</v>
      </c>
    </row>
    <row r="28" customFormat="false" ht="15" hidden="false" customHeight="true" outlineLevel="0" collapsed="false">
      <c r="A28" s="8" t="s">
        <v>376</v>
      </c>
      <c r="B28" s="28" t="s">
        <v>379</v>
      </c>
      <c r="C28" s="31" t="n">
        <v>2010</v>
      </c>
      <c r="D28" s="6" t="s">
        <v>377</v>
      </c>
      <c r="E28" s="29" t="n">
        <v>15000</v>
      </c>
      <c r="F28" s="31" t="n">
        <v>2</v>
      </c>
      <c r="G28" s="38" t="n">
        <f aca="false">ROUND(F28*MAX(0.4,1-$B$5*$B$6),1)</f>
        <v>1.5</v>
      </c>
      <c r="H28" s="29" t="n">
        <v>25000</v>
      </c>
      <c r="I28" s="29" t="n">
        <v>150</v>
      </c>
      <c r="J28" s="30" t="n">
        <f aca="false">H28*IF(C28&gt;=2017,1-$B$7,1)+I28*12</f>
        <v>26800</v>
      </c>
      <c r="K28" s="34" t="n">
        <v>0</v>
      </c>
      <c r="L28" s="34" t="n">
        <v>1</v>
      </c>
      <c r="M28" s="31" t="n">
        <v>2</v>
      </c>
      <c r="N28" s="6" t="s">
        <v>380</v>
      </c>
    </row>
    <row r="29" customFormat="false" ht="15" hidden="false" customHeight="true" outlineLevel="0" collapsed="false">
      <c r="A29" s="8" t="s">
        <v>376</v>
      </c>
      <c r="B29" s="28" t="s">
        <v>381</v>
      </c>
      <c r="C29" s="31" t="n">
        <v>2019</v>
      </c>
      <c r="D29" s="6" t="s">
        <v>379</v>
      </c>
      <c r="E29" s="29" t="n">
        <v>40000</v>
      </c>
      <c r="F29" s="31" t="n">
        <v>4</v>
      </c>
      <c r="G29" s="38" t="n">
        <f aca="false">ROUND(F29*MAX(0.4,1-$B$5*$B$6),1)</f>
        <v>3</v>
      </c>
      <c r="H29" s="29" t="n">
        <v>35000</v>
      </c>
      <c r="I29" s="29" t="n">
        <v>300</v>
      </c>
      <c r="J29" s="30" t="n">
        <f aca="false">H29*IF(C29&gt;=2017,1-$B$7,1)+I29*12</f>
        <v>24600</v>
      </c>
      <c r="K29" s="34" t="n">
        <v>0</v>
      </c>
      <c r="L29" s="34" t="n">
        <v>1</v>
      </c>
      <c r="M29" s="31" t="n">
        <v>4</v>
      </c>
      <c r="N29" s="6" t="s">
        <v>382</v>
      </c>
    </row>
    <row r="31" customFormat="false" ht="15" hidden="false" customHeight="true" outlineLevel="0" collapsed="false">
      <c r="A31" s="15" t="s">
        <v>57</v>
      </c>
    </row>
    <row r="32" customFormat="false" ht="15" hidden="false" customHeight="true" outlineLevel="0" collapsed="false">
      <c r="A32" s="41" t="s">
        <v>383</v>
      </c>
      <c r="B32" s="41"/>
      <c r="C32" s="41"/>
      <c r="D32" s="41"/>
      <c r="E32" s="41"/>
      <c r="F32" s="41"/>
      <c r="G32" s="41"/>
      <c r="H32" s="41"/>
      <c r="I32" s="41"/>
      <c r="J32" s="41"/>
    </row>
    <row r="33" customFormat="false" ht="15" hidden="false" customHeight="true" outlineLevel="0" collapsed="false">
      <c r="A33" s="41" t="s">
        <v>384</v>
      </c>
      <c r="B33" s="41"/>
      <c r="C33" s="41"/>
      <c r="D33" s="41"/>
      <c r="E33" s="41"/>
      <c r="F33" s="41"/>
      <c r="G33" s="41"/>
      <c r="H33" s="41"/>
      <c r="I33" s="41"/>
      <c r="J33" s="41"/>
    </row>
    <row r="34" customFormat="false" ht="15" hidden="false" customHeight="true" outlineLevel="0" collapsed="false">
      <c r="A34" s="41" t="s">
        <v>385</v>
      </c>
      <c r="B34" s="41"/>
      <c r="C34" s="41"/>
      <c r="D34" s="41"/>
      <c r="E34" s="41"/>
      <c r="F34" s="41"/>
      <c r="G34" s="41"/>
      <c r="H34" s="41"/>
      <c r="I34" s="41"/>
      <c r="J34" s="41"/>
    </row>
    <row r="35" customFormat="false" ht="15" hidden="false" customHeight="true" outlineLevel="0" collapsed="false">
      <c r="A35" s="41" t="s">
        <v>386</v>
      </c>
      <c r="B35" s="41"/>
      <c r="C35" s="41"/>
      <c r="D35" s="41"/>
      <c r="E35" s="41"/>
      <c r="F35" s="41"/>
      <c r="G35" s="41"/>
      <c r="H35" s="41"/>
      <c r="I35" s="41"/>
      <c r="J35" s="41"/>
    </row>
    <row r="37" customFormat="false" ht="15" hidden="false" customHeight="true" outlineLevel="0" collapsed="false">
      <c r="A37" s="24" t="s">
        <v>387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customFormat="false" ht="15" hidden="false" customHeight="true" outlineLevel="0" collapsed="false">
      <c r="A38" s="28" t="s">
        <v>16</v>
      </c>
      <c r="B38" s="35" t="s">
        <v>353</v>
      </c>
    </row>
    <row r="39" customFormat="false" ht="15" hidden="false" customHeight="true" outlineLevel="0" collapsed="false">
      <c r="A39" s="28" t="s">
        <v>334</v>
      </c>
      <c r="B39" s="30" t="n">
        <f aca="false">INDEX($H$11:$H$29,MATCH(B38,$B$11:$B$29,0))</f>
        <v>80000</v>
      </c>
    </row>
    <row r="40" customFormat="false" ht="15" hidden="false" customHeight="true" outlineLevel="0" collapsed="false">
      <c r="A40" s="28" t="s">
        <v>388</v>
      </c>
      <c r="B40" s="30" t="n">
        <f aca="false">B39*(1+$B$8)/36</f>
        <v>2622.22222222222</v>
      </c>
    </row>
    <row r="41" customFormat="false" ht="15" hidden="false" customHeight="true" outlineLevel="0" collapsed="false">
      <c r="A41" s="28" t="s">
        <v>389</v>
      </c>
      <c r="B41" s="30" t="n">
        <f aca="false">B40+INDEX($I$11:$I$29,MATCH(B38,$B$11:$B$29,0))</f>
        <v>3222.22222222222</v>
      </c>
    </row>
  </sheetData>
  <mergeCells count="4">
    <mergeCell ref="A32:J32"/>
    <mergeCell ref="A33:J33"/>
    <mergeCell ref="A34:J34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5" min="5" style="1" width="42"/>
    <col collapsed="false" customWidth="true" hidden="false" outlineLevel="0" max="6" min="6" style="1" width="30"/>
    <col collapsed="false" customWidth="true" hidden="false" outlineLevel="0" max="8" min="7" style="1" width="7"/>
    <col collapsed="false" customWidth="true" hidden="false" outlineLevel="0" max="9" min="9" style="1" width="10"/>
    <col collapsed="false" customWidth="true" hidden="false" outlineLevel="0" max="10" min="10" style="1" width="24"/>
    <col collapsed="false" customWidth="true" hidden="false" outlineLevel="0" max="11" min="11" style="1" width="32"/>
    <col collapsed="false" customWidth="true" hidden="false" outlineLevel="0" max="12" min="12" style="1" width="24"/>
    <col collapsed="false" customWidth="true" hidden="false" outlineLevel="0" max="13" min="13" style="1" width="32"/>
    <col collapsed="false" customWidth="true" hidden="false" outlineLevel="0" max="15" min="14" style="1" width="24"/>
    <col collapsed="false" customWidth="true" hidden="false" outlineLevel="0" max="16" min="16" style="1" width="30"/>
    <col collapsed="false" customWidth="true" hidden="false" outlineLevel="0" max="17" min="17" style="1" width="9"/>
    <col collapsed="false" customWidth="true" hidden="false" outlineLevel="0" max="18" min="18" style="1" width="26"/>
  </cols>
  <sheetData>
    <row r="1" customFormat="false" ht="17.25" hidden="false" customHeight="true" outlineLevel="0" collapsed="false">
      <c r="A1" s="2" t="s">
        <v>390</v>
      </c>
    </row>
    <row r="2" customFormat="false" ht="15" hidden="false" customHeight="true" outlineLevel="0" collapsed="false">
      <c r="A2" s="3" t="s">
        <v>391</v>
      </c>
    </row>
    <row r="4" customFormat="false" ht="30" hidden="false" customHeight="true" outlineLevel="0" collapsed="false">
      <c r="A4" s="4" t="s">
        <v>392</v>
      </c>
      <c r="B4" s="4" t="s">
        <v>393</v>
      </c>
      <c r="C4" s="4" t="s">
        <v>394</v>
      </c>
      <c r="D4" s="4" t="s">
        <v>395</v>
      </c>
      <c r="E4" s="4" t="s">
        <v>396</v>
      </c>
      <c r="F4" s="4" t="s">
        <v>397</v>
      </c>
      <c r="G4" s="4" t="s">
        <v>398</v>
      </c>
      <c r="H4" s="4" t="s">
        <v>399</v>
      </c>
      <c r="I4" s="4" t="s">
        <v>400</v>
      </c>
      <c r="J4" s="4" t="s">
        <v>401</v>
      </c>
      <c r="K4" s="4" t="s">
        <v>402</v>
      </c>
      <c r="L4" s="4" t="s">
        <v>403</v>
      </c>
      <c r="M4" s="4" t="s">
        <v>404</v>
      </c>
      <c r="N4" s="4" t="s">
        <v>405</v>
      </c>
      <c r="O4" s="4" t="s">
        <v>406</v>
      </c>
      <c r="P4" s="4" t="s">
        <v>407</v>
      </c>
      <c r="Q4" s="4" t="s">
        <v>408</v>
      </c>
      <c r="R4" s="4" t="s">
        <v>409</v>
      </c>
    </row>
    <row r="5" customFormat="false" ht="39" hidden="false" customHeight="true" outlineLevel="0" collapsed="false">
      <c r="A5" s="6" t="s">
        <v>410</v>
      </c>
      <c r="B5" s="6" t="s">
        <v>411</v>
      </c>
      <c r="C5" s="6" t="s">
        <v>412</v>
      </c>
      <c r="D5" s="5" t="s">
        <v>413</v>
      </c>
      <c r="E5" s="6" t="s">
        <v>414</v>
      </c>
      <c r="F5" s="6" t="s">
        <v>415</v>
      </c>
      <c r="G5" s="42" t="n">
        <v>2002</v>
      </c>
      <c r="H5" s="42" t="n">
        <v>2040</v>
      </c>
      <c r="I5" s="6" t="s">
        <v>416</v>
      </c>
      <c r="J5" s="6" t="s">
        <v>417</v>
      </c>
      <c r="K5" s="6" t="s">
        <v>418</v>
      </c>
      <c r="L5" s="6" t="s">
        <v>419</v>
      </c>
      <c r="M5" s="6" t="s">
        <v>420</v>
      </c>
      <c r="N5" s="6" t="s">
        <v>421</v>
      </c>
      <c r="O5" s="6" t="s">
        <v>422</v>
      </c>
      <c r="P5" s="6" t="s">
        <v>423</v>
      </c>
      <c r="Q5" s="6" t="s">
        <v>424</v>
      </c>
      <c r="R5" s="6"/>
    </row>
    <row r="6" customFormat="false" ht="26.25" hidden="false" customHeight="true" outlineLevel="0" collapsed="false">
      <c r="A6" s="6" t="s">
        <v>425</v>
      </c>
      <c r="B6" s="6" t="s">
        <v>411</v>
      </c>
      <c r="C6" s="6" t="s">
        <v>412</v>
      </c>
      <c r="D6" s="5" t="s">
        <v>426</v>
      </c>
      <c r="E6" s="6" t="s">
        <v>427</v>
      </c>
      <c r="F6" s="6" t="s">
        <v>428</v>
      </c>
      <c r="G6" s="42" t="n">
        <v>2002</v>
      </c>
      <c r="H6" s="42" t="n">
        <v>2040</v>
      </c>
      <c r="I6" s="6" t="s">
        <v>416</v>
      </c>
      <c r="J6" s="6" t="s">
        <v>429</v>
      </c>
      <c r="K6" s="6" t="s">
        <v>430</v>
      </c>
      <c r="L6" s="6" t="s">
        <v>431</v>
      </c>
      <c r="M6" s="6" t="s">
        <v>432</v>
      </c>
      <c r="N6" s="6" t="s">
        <v>433</v>
      </c>
      <c r="O6" s="6" t="s">
        <v>434</v>
      </c>
      <c r="P6" s="6" t="s">
        <v>435</v>
      </c>
      <c r="Q6" s="6" t="s">
        <v>424</v>
      </c>
      <c r="R6" s="6"/>
    </row>
    <row r="7" customFormat="false" ht="39" hidden="false" customHeight="true" outlineLevel="0" collapsed="false">
      <c r="A7" s="6" t="s">
        <v>436</v>
      </c>
      <c r="B7" s="6" t="s">
        <v>411</v>
      </c>
      <c r="C7" s="6" t="s">
        <v>412</v>
      </c>
      <c r="D7" s="5" t="s">
        <v>437</v>
      </c>
      <c r="E7" s="6" t="s">
        <v>438</v>
      </c>
      <c r="F7" s="6" t="s">
        <v>439</v>
      </c>
      <c r="G7" s="42" t="n">
        <v>2002</v>
      </c>
      <c r="H7" s="42" t="n">
        <v>2040</v>
      </c>
      <c r="I7" s="6" t="s">
        <v>440</v>
      </c>
      <c r="J7" s="6" t="s">
        <v>441</v>
      </c>
      <c r="K7" s="6" t="s">
        <v>442</v>
      </c>
      <c r="L7" s="6" t="s">
        <v>443</v>
      </c>
      <c r="M7" s="6" t="s">
        <v>444</v>
      </c>
      <c r="N7" s="6"/>
      <c r="O7" s="6"/>
      <c r="P7" s="6"/>
      <c r="Q7" s="6" t="s">
        <v>445</v>
      </c>
      <c r="R7" s="6" t="s">
        <v>446</v>
      </c>
    </row>
    <row r="8" customFormat="false" ht="26.25" hidden="false" customHeight="true" outlineLevel="0" collapsed="false">
      <c r="A8" s="6" t="s">
        <v>447</v>
      </c>
      <c r="B8" s="6" t="s">
        <v>411</v>
      </c>
      <c r="C8" s="6" t="s">
        <v>412</v>
      </c>
      <c r="D8" s="5" t="s">
        <v>448</v>
      </c>
      <c r="E8" s="6" t="s">
        <v>449</v>
      </c>
      <c r="F8" s="6" t="s">
        <v>450</v>
      </c>
      <c r="G8" s="42" t="n">
        <v>2002</v>
      </c>
      <c r="H8" s="42" t="n">
        <v>2040</v>
      </c>
      <c r="I8" s="6" t="s">
        <v>416</v>
      </c>
      <c r="J8" s="6" t="s">
        <v>451</v>
      </c>
      <c r="K8" s="6" t="s">
        <v>452</v>
      </c>
      <c r="L8" s="6" t="s">
        <v>453</v>
      </c>
      <c r="M8" s="6" t="s">
        <v>454</v>
      </c>
      <c r="N8" s="6" t="s">
        <v>455</v>
      </c>
      <c r="O8" s="6" t="s">
        <v>456</v>
      </c>
      <c r="P8" s="6" t="s">
        <v>457</v>
      </c>
      <c r="Q8" s="6" t="s">
        <v>424</v>
      </c>
      <c r="R8" s="6"/>
    </row>
    <row r="9" customFormat="false" ht="39" hidden="false" customHeight="true" outlineLevel="0" collapsed="false">
      <c r="A9" s="6" t="s">
        <v>458</v>
      </c>
      <c r="B9" s="6" t="s">
        <v>411</v>
      </c>
      <c r="C9" s="6" t="s">
        <v>459</v>
      </c>
      <c r="D9" s="5" t="s">
        <v>460</v>
      </c>
      <c r="E9" s="6" t="s">
        <v>461</v>
      </c>
      <c r="F9" s="6" t="s">
        <v>462</v>
      </c>
      <c r="G9" s="42" t="n">
        <v>2002</v>
      </c>
      <c r="H9" s="42" t="n">
        <v>2040</v>
      </c>
      <c r="I9" s="6" t="s">
        <v>440</v>
      </c>
      <c r="J9" s="6" t="s">
        <v>463</v>
      </c>
      <c r="K9" s="6" t="s">
        <v>464</v>
      </c>
      <c r="L9" s="6" t="s">
        <v>465</v>
      </c>
      <c r="M9" s="6" t="s">
        <v>466</v>
      </c>
      <c r="N9" s="6"/>
      <c r="O9" s="6"/>
      <c r="P9" s="6"/>
      <c r="Q9" s="6" t="s">
        <v>424</v>
      </c>
      <c r="R9" s="6"/>
    </row>
    <row r="10" customFormat="false" ht="39" hidden="false" customHeight="true" outlineLevel="0" collapsed="false">
      <c r="A10" s="6" t="s">
        <v>467</v>
      </c>
      <c r="B10" s="6" t="s">
        <v>468</v>
      </c>
      <c r="C10" s="6" t="s">
        <v>469</v>
      </c>
      <c r="D10" s="5" t="s">
        <v>470</v>
      </c>
      <c r="E10" s="6" t="s">
        <v>471</v>
      </c>
      <c r="F10" s="6" t="s">
        <v>472</v>
      </c>
      <c r="G10" s="42" t="n">
        <v>2008</v>
      </c>
      <c r="H10" s="42" t="n">
        <v>2040</v>
      </c>
      <c r="I10" s="6" t="s">
        <v>416</v>
      </c>
      <c r="J10" s="6" t="s">
        <v>473</v>
      </c>
      <c r="K10" s="6" t="s">
        <v>474</v>
      </c>
      <c r="L10" s="6" t="s">
        <v>475</v>
      </c>
      <c r="M10" s="6" t="s">
        <v>476</v>
      </c>
      <c r="N10" s="6" t="s">
        <v>477</v>
      </c>
      <c r="O10" s="6" t="s">
        <v>478</v>
      </c>
      <c r="P10" s="6" t="s">
        <v>479</v>
      </c>
      <c r="Q10" s="6" t="s">
        <v>424</v>
      </c>
      <c r="R10" s="6" t="s">
        <v>480</v>
      </c>
    </row>
    <row r="11" customFormat="false" ht="39" hidden="false" customHeight="true" outlineLevel="0" collapsed="false">
      <c r="A11" s="6" t="s">
        <v>481</v>
      </c>
      <c r="B11" s="6" t="s">
        <v>468</v>
      </c>
      <c r="C11" s="6" t="s">
        <v>469</v>
      </c>
      <c r="D11" s="5" t="s">
        <v>482</v>
      </c>
      <c r="E11" s="6" t="s">
        <v>483</v>
      </c>
      <c r="F11" s="6" t="s">
        <v>484</v>
      </c>
      <c r="G11" s="42" t="n">
        <v>2002</v>
      </c>
      <c r="H11" s="42" t="n">
        <v>2040</v>
      </c>
      <c r="I11" s="6" t="s">
        <v>416</v>
      </c>
      <c r="J11" s="6" t="s">
        <v>485</v>
      </c>
      <c r="K11" s="6" t="s">
        <v>486</v>
      </c>
      <c r="L11" s="6" t="s">
        <v>487</v>
      </c>
      <c r="M11" s="6" t="s">
        <v>488</v>
      </c>
      <c r="N11" s="6" t="s">
        <v>489</v>
      </c>
      <c r="O11" s="6" t="s">
        <v>490</v>
      </c>
      <c r="P11" s="6" t="s">
        <v>491</v>
      </c>
      <c r="Q11" s="6" t="s">
        <v>424</v>
      </c>
      <c r="R11" s="6"/>
    </row>
    <row r="12" customFormat="false" ht="26.25" hidden="false" customHeight="true" outlineLevel="0" collapsed="false">
      <c r="A12" s="6" t="s">
        <v>492</v>
      </c>
      <c r="B12" s="6" t="s">
        <v>468</v>
      </c>
      <c r="C12" s="6" t="s">
        <v>493</v>
      </c>
      <c r="D12" s="5" t="s">
        <v>494</v>
      </c>
      <c r="E12" s="6" t="s">
        <v>495</v>
      </c>
      <c r="F12" s="6" t="s">
        <v>496</v>
      </c>
      <c r="G12" s="42" t="n">
        <v>2002</v>
      </c>
      <c r="H12" s="42" t="n">
        <v>2040</v>
      </c>
      <c r="I12" s="6" t="s">
        <v>440</v>
      </c>
      <c r="J12" s="6" t="s">
        <v>497</v>
      </c>
      <c r="K12" s="6" t="s">
        <v>498</v>
      </c>
      <c r="L12" s="6" t="s">
        <v>499</v>
      </c>
      <c r="M12" s="6" t="s">
        <v>500</v>
      </c>
      <c r="N12" s="6" t="s">
        <v>501</v>
      </c>
      <c r="O12" s="6" t="s">
        <v>502</v>
      </c>
      <c r="P12" s="6" t="s">
        <v>503</v>
      </c>
      <c r="Q12" s="6" t="s">
        <v>424</v>
      </c>
      <c r="R12" s="6"/>
    </row>
    <row r="13" customFormat="false" ht="26.25" hidden="false" customHeight="true" outlineLevel="0" collapsed="false">
      <c r="A13" s="6" t="s">
        <v>504</v>
      </c>
      <c r="B13" s="6" t="s">
        <v>468</v>
      </c>
      <c r="C13" s="6" t="s">
        <v>469</v>
      </c>
      <c r="D13" s="5" t="s">
        <v>505</v>
      </c>
      <c r="E13" s="6" t="s">
        <v>506</v>
      </c>
      <c r="F13" s="6" t="s">
        <v>507</v>
      </c>
      <c r="G13" s="42" t="n">
        <v>2017</v>
      </c>
      <c r="H13" s="42" t="n">
        <v>2040</v>
      </c>
      <c r="I13" s="6" t="s">
        <v>416</v>
      </c>
      <c r="J13" s="6" t="s">
        <v>508</v>
      </c>
      <c r="K13" s="6" t="s">
        <v>509</v>
      </c>
      <c r="L13" s="6" t="s">
        <v>465</v>
      </c>
      <c r="M13" s="6" t="s">
        <v>466</v>
      </c>
      <c r="N13" s="6" t="s">
        <v>510</v>
      </c>
      <c r="O13" s="6" t="s">
        <v>511</v>
      </c>
      <c r="P13" s="6" t="s">
        <v>512</v>
      </c>
      <c r="Q13" s="6" t="s">
        <v>424</v>
      </c>
      <c r="R13" s="6" t="s">
        <v>513</v>
      </c>
    </row>
    <row r="14" customFormat="false" ht="39" hidden="false" customHeight="true" outlineLevel="0" collapsed="false">
      <c r="A14" s="6" t="s">
        <v>514</v>
      </c>
      <c r="B14" s="6" t="s">
        <v>468</v>
      </c>
      <c r="C14" s="6" t="s">
        <v>459</v>
      </c>
      <c r="D14" s="5" t="s">
        <v>515</v>
      </c>
      <c r="E14" s="6" t="s">
        <v>516</v>
      </c>
      <c r="F14" s="6" t="s">
        <v>517</v>
      </c>
      <c r="G14" s="42" t="n">
        <v>2002</v>
      </c>
      <c r="H14" s="42" t="n">
        <v>2040</v>
      </c>
      <c r="I14" s="6" t="s">
        <v>416</v>
      </c>
      <c r="J14" s="6" t="s">
        <v>518</v>
      </c>
      <c r="K14" s="6" t="s">
        <v>519</v>
      </c>
      <c r="L14" s="6" t="s">
        <v>520</v>
      </c>
      <c r="M14" s="6" t="s">
        <v>466</v>
      </c>
      <c r="N14" s="6" t="s">
        <v>521</v>
      </c>
      <c r="O14" s="6" t="s">
        <v>522</v>
      </c>
      <c r="P14" s="6" t="s">
        <v>523</v>
      </c>
      <c r="Q14" s="6" t="s">
        <v>424</v>
      </c>
      <c r="R14" s="6"/>
    </row>
    <row r="15" customFormat="false" ht="39" hidden="false" customHeight="true" outlineLevel="0" collapsed="false">
      <c r="A15" s="6" t="s">
        <v>524</v>
      </c>
      <c r="B15" s="6" t="s">
        <v>468</v>
      </c>
      <c r="C15" s="6" t="s">
        <v>469</v>
      </c>
      <c r="D15" s="5" t="s">
        <v>525</v>
      </c>
      <c r="E15" s="6" t="s">
        <v>526</v>
      </c>
      <c r="F15" s="6" t="s">
        <v>527</v>
      </c>
      <c r="G15" s="42" t="n">
        <v>2002</v>
      </c>
      <c r="H15" s="42" t="n">
        <v>2040</v>
      </c>
      <c r="I15" s="6" t="s">
        <v>416</v>
      </c>
      <c r="J15" s="6" t="s">
        <v>528</v>
      </c>
      <c r="K15" s="6" t="s">
        <v>529</v>
      </c>
      <c r="L15" s="6" t="s">
        <v>530</v>
      </c>
      <c r="M15" s="6" t="s">
        <v>531</v>
      </c>
      <c r="N15" s="6" t="s">
        <v>532</v>
      </c>
      <c r="O15" s="6" t="s">
        <v>533</v>
      </c>
      <c r="P15" s="6" t="s">
        <v>534</v>
      </c>
      <c r="Q15" s="6" t="s">
        <v>424</v>
      </c>
      <c r="R15" s="6"/>
    </row>
    <row r="16" customFormat="false" ht="26.25" hidden="false" customHeight="true" outlineLevel="0" collapsed="false">
      <c r="A16" s="6" t="s">
        <v>535</v>
      </c>
      <c r="B16" s="6" t="s">
        <v>536</v>
      </c>
      <c r="C16" s="6" t="s">
        <v>493</v>
      </c>
      <c r="D16" s="5" t="s">
        <v>537</v>
      </c>
      <c r="E16" s="6" t="s">
        <v>538</v>
      </c>
      <c r="F16" s="6" t="s">
        <v>539</v>
      </c>
      <c r="G16" s="42" t="n">
        <v>2002</v>
      </c>
      <c r="H16" s="42" t="n">
        <v>2040</v>
      </c>
      <c r="I16" s="6" t="s">
        <v>416</v>
      </c>
      <c r="J16" s="6" t="s">
        <v>540</v>
      </c>
      <c r="K16" s="6" t="s">
        <v>541</v>
      </c>
      <c r="L16" s="6" t="s">
        <v>542</v>
      </c>
      <c r="M16" s="6" t="s">
        <v>543</v>
      </c>
      <c r="N16" s="6"/>
      <c r="O16" s="6"/>
      <c r="P16" s="6"/>
      <c r="Q16" s="6" t="s">
        <v>424</v>
      </c>
      <c r="R16" s="6"/>
    </row>
    <row r="17" customFormat="false" ht="26.25" hidden="false" customHeight="true" outlineLevel="0" collapsed="false">
      <c r="A17" s="6" t="s">
        <v>544</v>
      </c>
      <c r="B17" s="6" t="s">
        <v>536</v>
      </c>
      <c r="C17" s="6" t="s">
        <v>412</v>
      </c>
      <c r="D17" s="5" t="s">
        <v>545</v>
      </c>
      <c r="E17" s="6" t="s">
        <v>546</v>
      </c>
      <c r="F17" s="6" t="s">
        <v>547</v>
      </c>
      <c r="G17" s="42" t="n">
        <v>2002</v>
      </c>
      <c r="H17" s="42" t="n">
        <v>2040</v>
      </c>
      <c r="I17" s="6" t="s">
        <v>416</v>
      </c>
      <c r="J17" s="6" t="s">
        <v>548</v>
      </c>
      <c r="K17" s="6" t="s">
        <v>549</v>
      </c>
      <c r="L17" s="6" t="s">
        <v>550</v>
      </c>
      <c r="M17" s="6" t="s">
        <v>551</v>
      </c>
      <c r="N17" s="6"/>
      <c r="O17" s="6"/>
      <c r="P17" s="6"/>
      <c r="Q17" s="6" t="s">
        <v>424</v>
      </c>
      <c r="R17" s="6"/>
    </row>
    <row r="18" customFormat="false" ht="39" hidden="false" customHeight="true" outlineLevel="0" collapsed="false">
      <c r="A18" s="6" t="s">
        <v>552</v>
      </c>
      <c r="B18" s="6" t="s">
        <v>536</v>
      </c>
      <c r="C18" s="6" t="s">
        <v>459</v>
      </c>
      <c r="D18" s="5" t="s">
        <v>553</v>
      </c>
      <c r="E18" s="6" t="s">
        <v>554</v>
      </c>
      <c r="F18" s="6" t="s">
        <v>555</v>
      </c>
      <c r="G18" s="42" t="n">
        <v>2002</v>
      </c>
      <c r="H18" s="42" t="n">
        <v>2040</v>
      </c>
      <c r="I18" s="6" t="s">
        <v>416</v>
      </c>
      <c r="J18" s="6" t="s">
        <v>556</v>
      </c>
      <c r="K18" s="6" t="s">
        <v>557</v>
      </c>
      <c r="L18" s="6" t="s">
        <v>558</v>
      </c>
      <c r="M18" s="6" t="s">
        <v>559</v>
      </c>
      <c r="N18" s="6" t="s">
        <v>560</v>
      </c>
      <c r="O18" s="6" t="s">
        <v>561</v>
      </c>
      <c r="P18" s="6" t="s">
        <v>562</v>
      </c>
      <c r="Q18" s="6" t="s">
        <v>424</v>
      </c>
      <c r="R18" s="6"/>
    </row>
    <row r="19" customFormat="false" ht="26.25" hidden="false" customHeight="true" outlineLevel="0" collapsed="false">
      <c r="A19" s="6" t="s">
        <v>563</v>
      </c>
      <c r="B19" s="6" t="s">
        <v>536</v>
      </c>
      <c r="C19" s="6" t="s">
        <v>459</v>
      </c>
      <c r="D19" s="5" t="s">
        <v>564</v>
      </c>
      <c r="E19" s="6" t="s">
        <v>565</v>
      </c>
      <c r="F19" s="6" t="s">
        <v>566</v>
      </c>
      <c r="G19" s="42" t="n">
        <v>2002</v>
      </c>
      <c r="H19" s="42" t="n">
        <v>2040</v>
      </c>
      <c r="I19" s="6" t="s">
        <v>440</v>
      </c>
      <c r="J19" s="6" t="s">
        <v>567</v>
      </c>
      <c r="K19" s="6" t="s">
        <v>568</v>
      </c>
      <c r="L19" s="6" t="s">
        <v>569</v>
      </c>
      <c r="M19" s="6" t="s">
        <v>570</v>
      </c>
      <c r="N19" s="6"/>
      <c r="O19" s="6"/>
      <c r="P19" s="6"/>
      <c r="Q19" s="6" t="s">
        <v>424</v>
      </c>
      <c r="R19" s="6"/>
    </row>
    <row r="20" customFormat="false" ht="26.25" hidden="false" customHeight="true" outlineLevel="0" collapsed="false">
      <c r="A20" s="6" t="s">
        <v>571</v>
      </c>
      <c r="B20" s="6" t="s">
        <v>536</v>
      </c>
      <c r="C20" s="6" t="s">
        <v>493</v>
      </c>
      <c r="D20" s="5" t="s">
        <v>572</v>
      </c>
      <c r="E20" s="6" t="s">
        <v>573</v>
      </c>
      <c r="F20" s="6" t="s">
        <v>574</v>
      </c>
      <c r="G20" s="42" t="n">
        <v>2006</v>
      </c>
      <c r="H20" s="42" t="n">
        <v>2006</v>
      </c>
      <c r="I20" s="6" t="s">
        <v>575</v>
      </c>
      <c r="J20" s="6" t="s">
        <v>576</v>
      </c>
      <c r="K20" s="6" t="s">
        <v>577</v>
      </c>
      <c r="L20" s="6" t="s">
        <v>578</v>
      </c>
      <c r="M20" s="6" t="s">
        <v>579</v>
      </c>
      <c r="N20" s="6"/>
      <c r="O20" s="6"/>
      <c r="P20" s="6"/>
      <c r="Q20" s="6" t="s">
        <v>424</v>
      </c>
      <c r="R20" s="6"/>
    </row>
    <row r="21" customFormat="false" ht="26.25" hidden="false" customHeight="true" outlineLevel="0" collapsed="false">
      <c r="A21" s="6" t="s">
        <v>580</v>
      </c>
      <c r="B21" s="6" t="s">
        <v>536</v>
      </c>
      <c r="C21" s="6" t="s">
        <v>493</v>
      </c>
      <c r="D21" s="5" t="s">
        <v>581</v>
      </c>
      <c r="E21" s="6" t="s">
        <v>582</v>
      </c>
      <c r="F21" s="6" t="s">
        <v>583</v>
      </c>
      <c r="G21" s="42" t="n">
        <v>2014</v>
      </c>
      <c r="H21" s="42" t="n">
        <v>2015</v>
      </c>
      <c r="I21" s="6" t="s">
        <v>575</v>
      </c>
      <c r="J21" s="6" t="s">
        <v>584</v>
      </c>
      <c r="K21" s="6" t="s">
        <v>585</v>
      </c>
      <c r="L21" s="6" t="s">
        <v>578</v>
      </c>
      <c r="M21" s="6" t="s">
        <v>586</v>
      </c>
      <c r="N21" s="6"/>
      <c r="O21" s="6"/>
      <c r="P21" s="6"/>
      <c r="Q21" s="6" t="s">
        <v>424</v>
      </c>
      <c r="R21" s="6"/>
    </row>
    <row r="22" customFormat="false" ht="26.25" hidden="false" customHeight="true" outlineLevel="0" collapsed="false">
      <c r="A22" s="6" t="s">
        <v>587</v>
      </c>
      <c r="B22" s="6" t="s">
        <v>588</v>
      </c>
      <c r="C22" s="6" t="s">
        <v>459</v>
      </c>
      <c r="D22" s="5" t="s">
        <v>589</v>
      </c>
      <c r="E22" s="6" t="s">
        <v>590</v>
      </c>
      <c r="F22" s="6" t="s">
        <v>591</v>
      </c>
      <c r="G22" s="42" t="n">
        <v>2002</v>
      </c>
      <c r="H22" s="42" t="n">
        <v>2040</v>
      </c>
      <c r="I22" s="6" t="s">
        <v>440</v>
      </c>
      <c r="J22" s="6" t="s">
        <v>592</v>
      </c>
      <c r="K22" s="6" t="s">
        <v>593</v>
      </c>
      <c r="L22" s="6" t="s">
        <v>594</v>
      </c>
      <c r="M22" s="6" t="s">
        <v>595</v>
      </c>
      <c r="N22" s="6"/>
      <c r="O22" s="6"/>
      <c r="P22" s="6"/>
      <c r="Q22" s="6" t="s">
        <v>424</v>
      </c>
      <c r="R22" s="6"/>
    </row>
    <row r="23" customFormat="false" ht="39" hidden="false" customHeight="true" outlineLevel="0" collapsed="false">
      <c r="A23" s="6" t="s">
        <v>596</v>
      </c>
      <c r="B23" s="6" t="s">
        <v>588</v>
      </c>
      <c r="C23" s="6" t="s">
        <v>459</v>
      </c>
      <c r="D23" s="5" t="s">
        <v>597</v>
      </c>
      <c r="E23" s="6" t="s">
        <v>598</v>
      </c>
      <c r="F23" s="6" t="s">
        <v>599</v>
      </c>
      <c r="G23" s="42" t="n">
        <v>2002</v>
      </c>
      <c r="H23" s="42" t="n">
        <v>2040</v>
      </c>
      <c r="I23" s="6" t="s">
        <v>440</v>
      </c>
      <c r="J23" s="6" t="s">
        <v>600</v>
      </c>
      <c r="K23" s="6" t="s">
        <v>601</v>
      </c>
      <c r="L23" s="6" t="s">
        <v>602</v>
      </c>
      <c r="M23" s="6" t="s">
        <v>603</v>
      </c>
      <c r="N23" s="6"/>
      <c r="O23" s="6"/>
      <c r="P23" s="6"/>
      <c r="Q23" s="6" t="s">
        <v>424</v>
      </c>
      <c r="R23" s="6"/>
    </row>
    <row r="24" customFormat="false" ht="26.25" hidden="false" customHeight="true" outlineLevel="0" collapsed="false">
      <c r="A24" s="6" t="s">
        <v>604</v>
      </c>
      <c r="B24" s="6" t="s">
        <v>588</v>
      </c>
      <c r="C24" s="6" t="s">
        <v>459</v>
      </c>
      <c r="D24" s="5" t="s">
        <v>605</v>
      </c>
      <c r="E24" s="6" t="s">
        <v>606</v>
      </c>
      <c r="F24" s="6" t="s">
        <v>607</v>
      </c>
      <c r="G24" s="42" t="n">
        <v>2002</v>
      </c>
      <c r="H24" s="42" t="n">
        <v>2040</v>
      </c>
      <c r="I24" s="6" t="s">
        <v>416</v>
      </c>
      <c r="J24" s="6" t="s">
        <v>608</v>
      </c>
      <c r="K24" s="6" t="s">
        <v>609</v>
      </c>
      <c r="L24" s="6" t="s">
        <v>610</v>
      </c>
      <c r="M24" s="6" t="s">
        <v>611</v>
      </c>
      <c r="N24" s="6" t="s">
        <v>612</v>
      </c>
      <c r="O24" s="6" t="s">
        <v>456</v>
      </c>
      <c r="P24" s="6" t="s">
        <v>613</v>
      </c>
      <c r="Q24" s="6" t="s">
        <v>424</v>
      </c>
      <c r="R24" s="6"/>
    </row>
    <row r="25" customFormat="false" ht="26.25" hidden="false" customHeight="true" outlineLevel="0" collapsed="false">
      <c r="A25" s="6" t="s">
        <v>614</v>
      </c>
      <c r="B25" s="6" t="s">
        <v>588</v>
      </c>
      <c r="C25" s="6" t="s">
        <v>459</v>
      </c>
      <c r="D25" s="5" t="s">
        <v>615</v>
      </c>
      <c r="E25" s="6" t="s">
        <v>616</v>
      </c>
      <c r="F25" s="6" t="s">
        <v>617</v>
      </c>
      <c r="G25" s="42" t="n">
        <v>2020</v>
      </c>
      <c r="H25" s="42" t="n">
        <v>2040</v>
      </c>
      <c r="I25" s="6" t="s">
        <v>440</v>
      </c>
      <c r="J25" s="6" t="s">
        <v>618</v>
      </c>
      <c r="K25" s="6" t="s">
        <v>619</v>
      </c>
      <c r="L25" s="6" t="s">
        <v>620</v>
      </c>
      <c r="M25" s="6" t="s">
        <v>621</v>
      </c>
      <c r="N25" s="6"/>
      <c r="O25" s="6"/>
      <c r="P25" s="6"/>
      <c r="Q25" s="6" t="s">
        <v>424</v>
      </c>
      <c r="R25" s="6"/>
    </row>
    <row r="26" customFormat="false" ht="26.25" hidden="false" customHeight="true" outlineLevel="0" collapsed="false">
      <c r="A26" s="6" t="s">
        <v>622</v>
      </c>
      <c r="B26" s="6" t="s">
        <v>588</v>
      </c>
      <c r="C26" s="6" t="s">
        <v>459</v>
      </c>
      <c r="D26" s="5" t="s">
        <v>623</v>
      </c>
      <c r="E26" s="6" t="s">
        <v>624</v>
      </c>
      <c r="F26" s="6" t="s">
        <v>625</v>
      </c>
      <c r="G26" s="42" t="n">
        <v>2002</v>
      </c>
      <c r="H26" s="42" t="n">
        <v>2040</v>
      </c>
      <c r="I26" s="6" t="s">
        <v>416</v>
      </c>
      <c r="J26" s="6" t="s">
        <v>626</v>
      </c>
      <c r="K26" s="6" t="s">
        <v>627</v>
      </c>
      <c r="L26" s="6" t="s">
        <v>628</v>
      </c>
      <c r="M26" s="6" t="s">
        <v>629</v>
      </c>
      <c r="N26" s="6"/>
      <c r="O26" s="6"/>
      <c r="P26" s="6"/>
      <c r="Q26" s="6" t="s">
        <v>424</v>
      </c>
      <c r="R26" s="6"/>
    </row>
    <row r="27" customFormat="false" ht="39" hidden="false" customHeight="true" outlineLevel="0" collapsed="false">
      <c r="A27" s="6" t="s">
        <v>630</v>
      </c>
      <c r="B27" s="6" t="s">
        <v>588</v>
      </c>
      <c r="C27" s="6" t="s">
        <v>459</v>
      </c>
      <c r="D27" s="5" t="s">
        <v>631</v>
      </c>
      <c r="E27" s="6" t="s">
        <v>632</v>
      </c>
      <c r="F27" s="6" t="s">
        <v>633</v>
      </c>
      <c r="G27" s="42" t="n">
        <v>2002</v>
      </c>
      <c r="H27" s="42" t="n">
        <v>2040</v>
      </c>
      <c r="I27" s="6" t="s">
        <v>416</v>
      </c>
      <c r="J27" s="6" t="s">
        <v>634</v>
      </c>
      <c r="K27" s="6" t="s">
        <v>635</v>
      </c>
      <c r="L27" s="6" t="s">
        <v>636</v>
      </c>
      <c r="M27" s="6" t="s">
        <v>637</v>
      </c>
      <c r="N27" s="6" t="s">
        <v>638</v>
      </c>
      <c r="O27" s="6" t="s">
        <v>639</v>
      </c>
      <c r="P27" s="6" t="s">
        <v>640</v>
      </c>
      <c r="Q27" s="6" t="s">
        <v>424</v>
      </c>
      <c r="R27" s="6"/>
    </row>
    <row r="28" customFormat="false" ht="39" hidden="false" customHeight="true" outlineLevel="0" collapsed="false">
      <c r="A28" s="6" t="s">
        <v>641</v>
      </c>
      <c r="B28" s="6" t="s">
        <v>642</v>
      </c>
      <c r="C28" s="6" t="s">
        <v>493</v>
      </c>
      <c r="D28" s="5" t="s">
        <v>643</v>
      </c>
      <c r="E28" s="6" t="s">
        <v>644</v>
      </c>
      <c r="F28" s="6" t="s">
        <v>645</v>
      </c>
      <c r="G28" s="42" t="n">
        <v>2002</v>
      </c>
      <c r="H28" s="42" t="n">
        <v>2040</v>
      </c>
      <c r="I28" s="6" t="s">
        <v>416</v>
      </c>
      <c r="J28" s="6" t="s">
        <v>646</v>
      </c>
      <c r="K28" s="6" t="s">
        <v>647</v>
      </c>
      <c r="L28" s="6" t="s">
        <v>648</v>
      </c>
      <c r="M28" s="6" t="s">
        <v>649</v>
      </c>
      <c r="N28" s="6" t="s">
        <v>650</v>
      </c>
      <c r="O28" s="6" t="s">
        <v>651</v>
      </c>
      <c r="P28" s="6" t="s">
        <v>652</v>
      </c>
      <c r="Q28" s="6" t="s">
        <v>424</v>
      </c>
      <c r="R28" s="6"/>
    </row>
    <row r="29" customFormat="false" ht="26.25" hidden="false" customHeight="true" outlineLevel="0" collapsed="false">
      <c r="A29" s="6" t="s">
        <v>653</v>
      </c>
      <c r="B29" s="6" t="s">
        <v>642</v>
      </c>
      <c r="C29" s="6" t="s">
        <v>493</v>
      </c>
      <c r="D29" s="5" t="s">
        <v>654</v>
      </c>
      <c r="E29" s="6" t="s">
        <v>655</v>
      </c>
      <c r="F29" s="6" t="s">
        <v>656</v>
      </c>
      <c r="G29" s="42" t="n">
        <v>2015</v>
      </c>
      <c r="H29" s="42" t="n">
        <v>2040</v>
      </c>
      <c r="I29" s="6" t="s">
        <v>416</v>
      </c>
      <c r="J29" s="6" t="s">
        <v>657</v>
      </c>
      <c r="K29" s="6" t="s">
        <v>658</v>
      </c>
      <c r="L29" s="6" t="s">
        <v>659</v>
      </c>
      <c r="M29" s="6" t="s">
        <v>660</v>
      </c>
      <c r="N29" s="6"/>
      <c r="O29" s="6"/>
      <c r="P29" s="6"/>
      <c r="Q29" s="6" t="s">
        <v>424</v>
      </c>
      <c r="R29" s="6"/>
    </row>
    <row r="30" customFormat="false" ht="26.25" hidden="false" customHeight="true" outlineLevel="0" collapsed="false">
      <c r="A30" s="6" t="s">
        <v>661</v>
      </c>
      <c r="B30" s="6" t="s">
        <v>642</v>
      </c>
      <c r="C30" s="6" t="s">
        <v>459</v>
      </c>
      <c r="D30" s="5" t="s">
        <v>662</v>
      </c>
      <c r="E30" s="6" t="s">
        <v>663</v>
      </c>
      <c r="F30" s="6" t="s">
        <v>664</v>
      </c>
      <c r="G30" s="42" t="n">
        <v>2002</v>
      </c>
      <c r="H30" s="42" t="n">
        <v>2040</v>
      </c>
      <c r="I30" s="6" t="s">
        <v>440</v>
      </c>
      <c r="J30" s="6" t="s">
        <v>665</v>
      </c>
      <c r="K30" s="6" t="s">
        <v>666</v>
      </c>
      <c r="L30" s="6" t="s">
        <v>667</v>
      </c>
      <c r="M30" s="6" t="s">
        <v>668</v>
      </c>
      <c r="N30" s="6"/>
      <c r="O30" s="6"/>
      <c r="P30" s="6"/>
      <c r="Q30" s="6" t="s">
        <v>424</v>
      </c>
      <c r="R30" s="6"/>
    </row>
    <row r="31" customFormat="false" ht="39" hidden="false" customHeight="true" outlineLevel="0" collapsed="false">
      <c r="A31" s="6" t="s">
        <v>669</v>
      </c>
      <c r="B31" s="6" t="s">
        <v>642</v>
      </c>
      <c r="C31" s="6" t="s">
        <v>493</v>
      </c>
      <c r="D31" s="5" t="s">
        <v>670</v>
      </c>
      <c r="E31" s="6" t="s">
        <v>671</v>
      </c>
      <c r="F31" s="6" t="s">
        <v>672</v>
      </c>
      <c r="G31" s="42" t="n">
        <v>2002</v>
      </c>
      <c r="H31" s="42" t="n">
        <v>2040</v>
      </c>
      <c r="I31" s="6" t="s">
        <v>440</v>
      </c>
      <c r="J31" s="6" t="s">
        <v>673</v>
      </c>
      <c r="K31" s="6" t="s">
        <v>674</v>
      </c>
      <c r="L31" s="6" t="s">
        <v>675</v>
      </c>
      <c r="M31" s="6" t="s">
        <v>676</v>
      </c>
      <c r="N31" s="6"/>
      <c r="O31" s="6"/>
      <c r="P31" s="6"/>
      <c r="Q31" s="6" t="s">
        <v>445</v>
      </c>
      <c r="R31" s="6"/>
    </row>
    <row r="32" customFormat="false" ht="26.25" hidden="false" customHeight="true" outlineLevel="0" collapsed="false">
      <c r="A32" s="6" t="s">
        <v>677</v>
      </c>
      <c r="B32" s="6" t="s">
        <v>642</v>
      </c>
      <c r="C32" s="6" t="s">
        <v>459</v>
      </c>
      <c r="D32" s="5" t="s">
        <v>678</v>
      </c>
      <c r="E32" s="6" t="s">
        <v>679</v>
      </c>
      <c r="F32" s="6" t="s">
        <v>680</v>
      </c>
      <c r="G32" s="42" t="n">
        <v>2002</v>
      </c>
      <c r="H32" s="42" t="n">
        <v>2040</v>
      </c>
      <c r="I32" s="6" t="s">
        <v>416</v>
      </c>
      <c r="J32" s="6" t="s">
        <v>681</v>
      </c>
      <c r="K32" s="6" t="s">
        <v>682</v>
      </c>
      <c r="L32" s="6" t="s">
        <v>683</v>
      </c>
      <c r="M32" s="6" t="s">
        <v>684</v>
      </c>
      <c r="N32" s="6"/>
      <c r="O32" s="6"/>
      <c r="P32" s="6"/>
      <c r="Q32" s="6" t="s">
        <v>424</v>
      </c>
      <c r="R32" s="6"/>
    </row>
    <row r="33" customFormat="false" ht="26.25" hidden="false" customHeight="true" outlineLevel="0" collapsed="false">
      <c r="A33" s="6" t="s">
        <v>685</v>
      </c>
      <c r="B33" s="6" t="s">
        <v>642</v>
      </c>
      <c r="C33" s="6" t="s">
        <v>493</v>
      </c>
      <c r="D33" s="5" t="s">
        <v>686</v>
      </c>
      <c r="E33" s="6" t="s">
        <v>687</v>
      </c>
      <c r="F33" s="6" t="s">
        <v>688</v>
      </c>
      <c r="G33" s="42" t="n">
        <v>2008</v>
      </c>
      <c r="H33" s="42" t="n">
        <v>2008</v>
      </c>
      <c r="I33" s="6" t="s">
        <v>575</v>
      </c>
      <c r="J33" s="6" t="s">
        <v>689</v>
      </c>
      <c r="K33" s="6" t="s">
        <v>690</v>
      </c>
      <c r="L33" s="6" t="s">
        <v>691</v>
      </c>
      <c r="M33" s="6" t="s">
        <v>692</v>
      </c>
      <c r="N33" s="6"/>
      <c r="O33" s="6"/>
      <c r="P33" s="6"/>
      <c r="Q33" s="6" t="s">
        <v>445</v>
      </c>
      <c r="R33" s="6"/>
    </row>
    <row r="34" customFormat="false" ht="26.25" hidden="false" customHeight="true" outlineLevel="0" collapsed="false">
      <c r="A34" s="6" t="s">
        <v>693</v>
      </c>
      <c r="B34" s="6" t="s">
        <v>642</v>
      </c>
      <c r="C34" s="6" t="s">
        <v>493</v>
      </c>
      <c r="D34" s="5" t="s">
        <v>694</v>
      </c>
      <c r="E34" s="6" t="s">
        <v>695</v>
      </c>
      <c r="F34" s="6" t="s">
        <v>696</v>
      </c>
      <c r="G34" s="42" t="n">
        <v>2020</v>
      </c>
      <c r="H34" s="42" t="n">
        <v>2020</v>
      </c>
      <c r="I34" s="6" t="s">
        <v>575</v>
      </c>
      <c r="J34" s="6" t="s">
        <v>697</v>
      </c>
      <c r="K34" s="6" t="s">
        <v>698</v>
      </c>
      <c r="L34" s="6" t="s">
        <v>699</v>
      </c>
      <c r="M34" s="6" t="s">
        <v>700</v>
      </c>
      <c r="N34" s="6"/>
      <c r="O34" s="6"/>
      <c r="P34" s="6"/>
      <c r="Q34" s="6" t="s">
        <v>445</v>
      </c>
      <c r="R34" s="6"/>
    </row>
    <row r="35" customFormat="false" ht="26.25" hidden="false" customHeight="true" outlineLevel="0" collapsed="false">
      <c r="A35" s="6" t="s">
        <v>701</v>
      </c>
      <c r="B35" s="6" t="s">
        <v>702</v>
      </c>
      <c r="C35" s="6" t="s">
        <v>493</v>
      </c>
      <c r="D35" s="5" t="s">
        <v>703</v>
      </c>
      <c r="E35" s="6" t="s">
        <v>704</v>
      </c>
      <c r="F35" s="6" t="s">
        <v>705</v>
      </c>
      <c r="G35" s="42" t="n">
        <v>2002</v>
      </c>
      <c r="H35" s="42" t="n">
        <v>2040</v>
      </c>
      <c r="I35" s="6" t="s">
        <v>440</v>
      </c>
      <c r="J35" s="6" t="s">
        <v>706</v>
      </c>
      <c r="K35" s="6" t="s">
        <v>707</v>
      </c>
      <c r="L35" s="6" t="s">
        <v>708</v>
      </c>
      <c r="M35" s="6" t="s">
        <v>709</v>
      </c>
      <c r="N35" s="6" t="s">
        <v>710</v>
      </c>
      <c r="O35" s="6" t="s">
        <v>711</v>
      </c>
      <c r="P35" s="6" t="s">
        <v>712</v>
      </c>
      <c r="Q35" s="6" t="s">
        <v>424</v>
      </c>
      <c r="R35" s="6" t="s">
        <v>713</v>
      </c>
    </row>
    <row r="36" customFormat="false" ht="39" hidden="false" customHeight="true" outlineLevel="0" collapsed="false">
      <c r="A36" s="6" t="s">
        <v>714</v>
      </c>
      <c r="B36" s="6" t="s">
        <v>702</v>
      </c>
      <c r="C36" s="6" t="s">
        <v>459</v>
      </c>
      <c r="D36" s="5" t="s">
        <v>715</v>
      </c>
      <c r="E36" s="6" t="s">
        <v>716</v>
      </c>
      <c r="F36" s="6" t="s">
        <v>717</v>
      </c>
      <c r="G36" s="42" t="n">
        <v>2002</v>
      </c>
      <c r="H36" s="42" t="n">
        <v>2040</v>
      </c>
      <c r="I36" s="6" t="s">
        <v>440</v>
      </c>
      <c r="J36" s="6" t="s">
        <v>718</v>
      </c>
      <c r="K36" s="6" t="s">
        <v>719</v>
      </c>
      <c r="L36" s="6" t="s">
        <v>720</v>
      </c>
      <c r="M36" s="6" t="s">
        <v>721</v>
      </c>
      <c r="N36" s="6"/>
      <c r="O36" s="6"/>
      <c r="P36" s="6"/>
      <c r="Q36" s="6" t="s">
        <v>424</v>
      </c>
      <c r="R36" s="6"/>
    </row>
    <row r="37" customFormat="false" ht="39" hidden="false" customHeight="true" outlineLevel="0" collapsed="false">
      <c r="A37" s="6" t="s">
        <v>722</v>
      </c>
      <c r="B37" s="6" t="s">
        <v>702</v>
      </c>
      <c r="C37" s="6" t="s">
        <v>493</v>
      </c>
      <c r="D37" s="5" t="s">
        <v>723</v>
      </c>
      <c r="E37" s="6" t="s">
        <v>724</v>
      </c>
      <c r="F37" s="6" t="s">
        <v>725</v>
      </c>
      <c r="G37" s="42" t="n">
        <v>2014</v>
      </c>
      <c r="H37" s="42" t="n">
        <v>2040</v>
      </c>
      <c r="I37" s="6" t="s">
        <v>416</v>
      </c>
      <c r="J37" s="6" t="s">
        <v>726</v>
      </c>
      <c r="K37" s="6" t="s">
        <v>727</v>
      </c>
      <c r="L37" s="6" t="s">
        <v>728</v>
      </c>
      <c r="M37" s="6" t="s">
        <v>729</v>
      </c>
      <c r="N37" s="6"/>
      <c r="O37" s="6"/>
      <c r="P37" s="6"/>
      <c r="Q37" s="6" t="s">
        <v>424</v>
      </c>
      <c r="R37" s="6"/>
    </row>
    <row r="39" customFormat="false" ht="15" hidden="false" customHeight="true" outlineLevel="0" collapsed="false">
      <c r="A39" s="43" t="s">
        <v>730</v>
      </c>
    </row>
    <row r="40" customFormat="false" ht="15" hidden="false" customHeight="true" outlineLevel="0" collapsed="false">
      <c r="A40" s="15" t="s">
        <v>393</v>
      </c>
      <c r="C40" s="15" t="s">
        <v>12</v>
      </c>
    </row>
    <row r="41" customFormat="false" ht="15" hidden="false" customHeight="true" outlineLevel="0" collapsed="false">
      <c r="A41" s="44" t="s">
        <v>411</v>
      </c>
      <c r="B41" s="44"/>
      <c r="C41" s="11" t="n">
        <f aca="false">COUNTIF($B$5:$B$37,A41)</f>
        <v>5</v>
      </c>
    </row>
    <row r="42" customFormat="false" ht="15" hidden="false" customHeight="true" outlineLevel="0" collapsed="false">
      <c r="A42" s="44" t="s">
        <v>468</v>
      </c>
      <c r="B42" s="44"/>
      <c r="C42" s="11" t="n">
        <f aca="false">COUNTIF($B$5:$B$37,A42)</f>
        <v>6</v>
      </c>
    </row>
    <row r="43" customFormat="false" ht="15" hidden="false" customHeight="true" outlineLevel="0" collapsed="false">
      <c r="A43" s="44" t="s">
        <v>536</v>
      </c>
      <c r="B43" s="44"/>
      <c r="C43" s="11" t="n">
        <f aca="false">COUNTIF($B$5:$B$37,A43)</f>
        <v>6</v>
      </c>
    </row>
    <row r="44" customFormat="false" ht="15" hidden="false" customHeight="true" outlineLevel="0" collapsed="false">
      <c r="A44" s="44" t="s">
        <v>588</v>
      </c>
      <c r="B44" s="44"/>
      <c r="C44" s="11" t="n">
        <f aca="false">COUNTIF($B$5:$B$37,A44)</f>
        <v>6</v>
      </c>
    </row>
    <row r="45" customFormat="false" ht="15" hidden="false" customHeight="true" outlineLevel="0" collapsed="false">
      <c r="A45" s="44" t="s">
        <v>642</v>
      </c>
      <c r="B45" s="44"/>
      <c r="C45" s="11" t="n">
        <f aca="false">COUNTIF($B$5:$B$37,A45)</f>
        <v>7</v>
      </c>
    </row>
    <row r="46" customFormat="false" ht="15" hidden="false" customHeight="true" outlineLevel="0" collapsed="false">
      <c r="A46" s="44" t="s">
        <v>702</v>
      </c>
      <c r="B46" s="44"/>
      <c r="C46" s="11" t="n">
        <f aca="false">COUNTIF($B$5:$B$37,A46)</f>
        <v>3</v>
      </c>
    </row>
    <row r="47" customFormat="false" ht="15" hidden="false" customHeight="true" outlineLevel="0" collapsed="false">
      <c r="A47" s="15" t="s">
        <v>731</v>
      </c>
      <c r="C47" s="15" t="n">
        <f aca="false">SUM(C41:C46)</f>
        <v>33</v>
      </c>
    </row>
  </sheetData>
  <autoFilter ref="A4:R37"/>
  <mergeCells count="6">
    <mergeCell ref="A41:B41"/>
    <mergeCell ref="A42:B42"/>
    <mergeCell ref="A43:B43"/>
    <mergeCell ref="A44:B44"/>
    <mergeCell ref="A45:B45"/>
    <mergeCell ref="A46:B46"/>
  </mergeCells>
  <conditionalFormatting sqref="Q5:Q37">
    <cfRule type="expression" priority="2" aboveAverage="0" equalAverage="0" bottom="0" percent="0" rank="0" text="" dxfId="10">
      <formula>$Q5="Serio"</formula>
    </cfRule>
  </conditionalFormatting>
  <conditionalFormatting sqref="I5:I37">
    <cfRule type="expression" priority="3" aboveAverage="0" equalAverage="0" bottom="0" percent="0" rank="0" text="" dxfId="11">
      <formula>$I5="Datato"</formula>
    </cfRule>
    <cfRule type="expression" priority="4" aboveAverage="0" equalAverage="0" bottom="0" percent="0" rank="0" text="" dxfId="12">
      <formula>$I5="Rara"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8" topLeftCell="B39" activePane="bottomRight" state="frozen"/>
      <selection pane="topLeft" activeCell="A1" activeCellId="0" sqref="A1"/>
      <selection pane="topRight" activeCell="B1" activeCellId="0" sqref="B1"/>
      <selection pane="bottomLeft" activeCell="A39" activeCellId="0" sqref="A3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2"/>
    <col collapsed="false" customWidth="true" hidden="false" outlineLevel="0" max="3" min="3" style="1" width="3"/>
    <col collapsed="false" customWidth="true" hidden="false" outlineLevel="0" max="4" min="4" style="1" width="40"/>
    <col collapsed="false" customWidth="true" hidden="false" outlineLevel="0" max="59" min="5" style="1" width="12"/>
  </cols>
  <sheetData>
    <row r="1" customFormat="false" ht="17.25" hidden="false" customHeight="true" outlineLevel="0" collapsed="false">
      <c r="A1" s="2" t="s">
        <v>732</v>
      </c>
    </row>
    <row r="2" customFormat="false" ht="15" hidden="false" customHeight="true" outlineLevel="0" collapsed="false">
      <c r="A2" s="3" t="s">
        <v>733</v>
      </c>
    </row>
    <row r="4" customFormat="false" ht="15" hidden="false" customHeight="true" outlineLevel="0" collapsed="false">
      <c r="A4" s="45" t="s">
        <v>323</v>
      </c>
      <c r="B4" s="25"/>
      <c r="D4" s="45" t="s">
        <v>734</v>
      </c>
      <c r="E4" s="25"/>
    </row>
    <row r="5" customFormat="false" ht="15" hidden="false" customHeight="true" outlineLevel="0" collapsed="false">
      <c r="A5" s="11" t="s">
        <v>735</v>
      </c>
      <c r="B5" s="46" t="n">
        <v>180000</v>
      </c>
      <c r="D5" s="11" t="s">
        <v>88</v>
      </c>
      <c r="E5" s="47" t="n">
        <v>17</v>
      </c>
    </row>
    <row r="6" customFormat="false" ht="15" hidden="false" customHeight="true" outlineLevel="0" collapsed="false">
      <c r="A6" s="11" t="s">
        <v>736</v>
      </c>
      <c r="B6" s="48" t="n">
        <v>2500</v>
      </c>
      <c r="D6" s="11" t="s">
        <v>89</v>
      </c>
      <c r="E6" s="47" t="n">
        <v>9</v>
      </c>
    </row>
    <row r="7" customFormat="false" ht="15" hidden="false" customHeight="true" outlineLevel="0" collapsed="false">
      <c r="A7" s="11" t="s">
        <v>737</v>
      </c>
      <c r="B7" s="49" t="n">
        <v>5.5</v>
      </c>
      <c r="D7" s="11" t="s">
        <v>91</v>
      </c>
      <c r="E7" s="47" t="n">
        <v>14</v>
      </c>
    </row>
    <row r="8" customFormat="false" ht="15" hidden="false" customHeight="true" outlineLevel="0" collapsed="false">
      <c r="A8" s="11" t="s">
        <v>738</v>
      </c>
      <c r="B8" s="49" t="n">
        <v>3.8</v>
      </c>
      <c r="D8" s="11" t="s">
        <v>739</v>
      </c>
      <c r="E8" s="47" t="n">
        <v>1</v>
      </c>
    </row>
    <row r="9" customFormat="false" ht="15" hidden="false" customHeight="true" outlineLevel="0" collapsed="false">
      <c r="A9" s="11" t="s">
        <v>740</v>
      </c>
      <c r="B9" s="49" t="n">
        <v>30</v>
      </c>
    </row>
    <row r="10" customFormat="false" ht="15" hidden="false" customHeight="true" outlineLevel="0" collapsed="false">
      <c r="A10" s="11" t="s">
        <v>741</v>
      </c>
      <c r="B10" s="46" t="n">
        <v>18500</v>
      </c>
      <c r="D10" s="45" t="s">
        <v>742</v>
      </c>
      <c r="E10" s="45" t="s">
        <v>743</v>
      </c>
      <c r="F10" s="45" t="s">
        <v>744</v>
      </c>
      <c r="G10" s="45" t="s">
        <v>745</v>
      </c>
      <c r="H10" s="45" t="s">
        <v>746</v>
      </c>
      <c r="I10" s="15" t="s">
        <v>747</v>
      </c>
      <c r="J10" s="15" t="s">
        <v>339</v>
      </c>
    </row>
    <row r="11" customFormat="false" ht="15" hidden="false" customHeight="true" outlineLevel="0" collapsed="false">
      <c r="A11" s="11" t="s">
        <v>748</v>
      </c>
      <c r="B11" s="46" t="n">
        <v>20000</v>
      </c>
      <c r="D11" s="11" t="s">
        <v>350</v>
      </c>
      <c r="E11" s="47" t="n">
        <v>3</v>
      </c>
      <c r="F11" s="50" t="n">
        <v>1.5</v>
      </c>
      <c r="G11" s="50" t="n">
        <v>0</v>
      </c>
      <c r="H11" s="46" t="n">
        <v>12000</v>
      </c>
      <c r="I11" s="46" t="n">
        <v>150</v>
      </c>
      <c r="J11" s="47" t="n">
        <v>2</v>
      </c>
    </row>
    <row r="12" customFormat="false" ht="15" hidden="false" customHeight="true" outlineLevel="0" collapsed="false">
      <c r="A12" s="11" t="s">
        <v>749</v>
      </c>
      <c r="B12" s="46" t="n">
        <v>22000</v>
      </c>
      <c r="D12" s="11" t="s">
        <v>343</v>
      </c>
      <c r="E12" s="47" t="n">
        <v>0</v>
      </c>
      <c r="F12" s="50" t="n">
        <v>1.5</v>
      </c>
      <c r="G12" s="50" t="n">
        <v>0.5</v>
      </c>
      <c r="H12" s="46" t="n">
        <v>65000</v>
      </c>
      <c r="I12" s="46" t="n">
        <v>800</v>
      </c>
      <c r="J12" s="47" t="n">
        <v>6</v>
      </c>
    </row>
    <row r="13" customFormat="false" ht="15" hidden="false" customHeight="true" outlineLevel="0" collapsed="false">
      <c r="A13" s="11" t="s">
        <v>209</v>
      </c>
      <c r="B13" s="51" t="n">
        <v>1.42</v>
      </c>
      <c r="D13" s="3" t="s">
        <v>750</v>
      </c>
    </row>
    <row r="14" customFormat="false" ht="15" hidden="false" customHeight="true" outlineLevel="0" collapsed="false">
      <c r="A14" s="11" t="s">
        <v>751</v>
      </c>
      <c r="B14" s="46" t="n">
        <v>4000</v>
      </c>
    </row>
    <row r="15" customFormat="false" ht="15" hidden="false" customHeight="true" outlineLevel="0" collapsed="false">
      <c r="A15" s="11" t="s">
        <v>752</v>
      </c>
      <c r="B15" s="46" t="n">
        <v>3500</v>
      </c>
      <c r="D15" s="45" t="s">
        <v>753</v>
      </c>
      <c r="E15" s="25"/>
      <c r="F15" s="25"/>
      <c r="G15" s="25"/>
      <c r="H15" s="25"/>
      <c r="I15" s="25"/>
      <c r="J15" s="25"/>
    </row>
    <row r="16" customFormat="false" ht="30" hidden="false" customHeight="true" outlineLevel="0" collapsed="false">
      <c r="A16" s="11" t="s">
        <v>754</v>
      </c>
      <c r="B16" s="46" t="n">
        <v>1500</v>
      </c>
      <c r="D16" s="27" t="s">
        <v>32</v>
      </c>
      <c r="E16" s="27" t="s">
        <v>755</v>
      </c>
      <c r="F16" s="27" t="s">
        <v>756</v>
      </c>
      <c r="G16" s="27" t="s">
        <v>757</v>
      </c>
      <c r="H16" s="27" t="s">
        <v>758</v>
      </c>
      <c r="I16" s="27" t="s">
        <v>759</v>
      </c>
    </row>
    <row r="17" customFormat="false" ht="15" hidden="false" customHeight="true" outlineLevel="0" collapsed="false">
      <c r="A17" s="11" t="s">
        <v>760</v>
      </c>
      <c r="B17" s="48" t="n">
        <v>900</v>
      </c>
      <c r="D17" s="15" t="s">
        <v>48</v>
      </c>
      <c r="E17" s="47" t="n">
        <v>1</v>
      </c>
      <c r="F17" s="48" t="n">
        <v>700</v>
      </c>
      <c r="G17" s="48" t="n">
        <v>300</v>
      </c>
      <c r="H17" s="52" t="n">
        <v>92</v>
      </c>
      <c r="I17" s="52"/>
    </row>
    <row r="18" customFormat="false" ht="15" hidden="false" customHeight="true" outlineLevel="0" collapsed="false">
      <c r="A18" s="11" t="s">
        <v>761</v>
      </c>
      <c r="B18" s="47" t="n">
        <v>16</v>
      </c>
      <c r="D18" s="15" t="s">
        <v>762</v>
      </c>
      <c r="E18" s="47" t="n">
        <v>4</v>
      </c>
      <c r="F18" s="48" t="n">
        <v>600</v>
      </c>
      <c r="G18" s="48" t="n">
        <v>480</v>
      </c>
      <c r="H18" s="52" t="n">
        <v>93</v>
      </c>
      <c r="I18" s="52" t="n">
        <v>96</v>
      </c>
    </row>
    <row r="19" customFormat="false" ht="15" hidden="false" customHeight="true" outlineLevel="0" collapsed="false">
      <c r="A19" s="11" t="s">
        <v>763</v>
      </c>
      <c r="B19" s="47" t="n">
        <v>240</v>
      </c>
      <c r="D19" s="15" t="s">
        <v>764</v>
      </c>
      <c r="E19" s="47" t="n">
        <v>9</v>
      </c>
      <c r="F19" s="48" t="n">
        <v>500</v>
      </c>
      <c r="G19" s="48" t="n">
        <v>250</v>
      </c>
      <c r="H19" s="52" t="n">
        <v>90</v>
      </c>
      <c r="I19" s="52" t="n">
        <v>97</v>
      </c>
    </row>
    <row r="20" customFormat="false" ht="15" hidden="false" customHeight="true" outlineLevel="0" collapsed="false">
      <c r="A20" s="11" t="s">
        <v>765</v>
      </c>
      <c r="B20" s="47" t="n">
        <v>20</v>
      </c>
      <c r="D20" s="15" t="s">
        <v>42</v>
      </c>
      <c r="E20" s="47" t="n">
        <v>0</v>
      </c>
      <c r="F20" s="48" t="n">
        <v>1500</v>
      </c>
      <c r="G20" s="48" t="n">
        <v>2400</v>
      </c>
      <c r="H20" s="52" t="n">
        <v>98</v>
      </c>
      <c r="I20" s="52" t="n">
        <v>95</v>
      </c>
    </row>
    <row r="21" customFormat="false" ht="15" hidden="false" customHeight="true" outlineLevel="0" collapsed="false">
      <c r="A21" s="11" t="s">
        <v>766</v>
      </c>
      <c r="B21" s="49" t="n">
        <v>0.86</v>
      </c>
      <c r="D21" s="3" t="s">
        <v>767</v>
      </c>
    </row>
    <row r="22" customFormat="false" ht="15" hidden="false" customHeight="true" outlineLevel="0" collapsed="false">
      <c r="A22" s="11" t="s">
        <v>768</v>
      </c>
      <c r="B22" s="51" t="n">
        <v>0.25</v>
      </c>
      <c r="D22" s="3" t="s">
        <v>769</v>
      </c>
    </row>
    <row r="23" customFormat="false" ht="15" hidden="false" customHeight="true" outlineLevel="0" collapsed="false">
      <c r="A23" s="11" t="s">
        <v>770</v>
      </c>
      <c r="B23" s="49" t="n">
        <v>0.08</v>
      </c>
    </row>
    <row r="24" customFormat="false" ht="15" hidden="false" customHeight="true" outlineLevel="0" collapsed="false">
      <c r="A24" s="11" t="s">
        <v>771</v>
      </c>
      <c r="B24" s="49" t="n">
        <v>0.05</v>
      </c>
      <c r="D24" s="45" t="s">
        <v>772</v>
      </c>
      <c r="E24" s="25"/>
      <c r="G24" s="53" t="s">
        <v>773</v>
      </c>
      <c r="H24" s="54"/>
      <c r="I24" s="54"/>
      <c r="J24" s="54"/>
      <c r="K24" s="54"/>
      <c r="L24" s="54"/>
    </row>
    <row r="25" customFormat="false" ht="15" hidden="false" customHeight="true" outlineLevel="0" collapsed="false">
      <c r="A25" s="11" t="s">
        <v>774</v>
      </c>
      <c r="B25" s="46" t="n">
        <v>1100</v>
      </c>
      <c r="D25" s="11" t="s">
        <v>775</v>
      </c>
      <c r="E25" s="55" t="n">
        <f aca="false">MIN(AB39:AB62)</f>
        <v>142365.4</v>
      </c>
      <c r="G25" s="27" t="s">
        <v>776</v>
      </c>
      <c r="H25" s="27" t="s">
        <v>777</v>
      </c>
      <c r="I25" s="27" t="s">
        <v>775</v>
      </c>
      <c r="J25" s="27" t="s">
        <v>778</v>
      </c>
      <c r="K25" s="27" t="s">
        <v>779</v>
      </c>
      <c r="L25" s="27" t="s">
        <v>780</v>
      </c>
    </row>
    <row r="26" customFormat="false" ht="15" hidden="false" customHeight="true" outlineLevel="0" collapsed="false">
      <c r="A26" s="11" t="s">
        <v>781</v>
      </c>
      <c r="B26" s="46" t="n">
        <v>2100</v>
      </c>
      <c r="D26" s="11" t="s">
        <v>782</v>
      </c>
      <c r="E26" s="55" t="n">
        <f aca="false">AB62</f>
        <v>260477.066666666</v>
      </c>
      <c r="G26" s="28" t="s">
        <v>783</v>
      </c>
      <c r="H26" s="6" t="s">
        <v>784</v>
      </c>
      <c r="I26" s="56" t="n">
        <v>-23877</v>
      </c>
      <c r="J26" s="57" t="n">
        <v>-23877</v>
      </c>
      <c r="K26" s="8" t="s">
        <v>785</v>
      </c>
      <c r="L26" s="8" t="s">
        <v>342</v>
      </c>
    </row>
    <row r="27" customFormat="false" ht="15" hidden="false" customHeight="true" outlineLevel="0" collapsed="false">
      <c r="A27" s="11" t="s">
        <v>786</v>
      </c>
      <c r="B27" s="47" t="n">
        <v>3</v>
      </c>
      <c r="D27" s="11" t="s">
        <v>787</v>
      </c>
      <c r="E27" s="58" t="str">
        <f aca="false">IFERROR(INDEX(A39:A62,MATCH(TRUE(),INDEX(AB39:AB62&lt;0,0),0)),"mai")</f>
        <v>mai</v>
      </c>
      <c r="G27" s="28" t="s">
        <v>788</v>
      </c>
      <c r="H27" s="6" t="s">
        <v>789</v>
      </c>
      <c r="I27" s="57" t="n">
        <v>132569</v>
      </c>
      <c r="J27" s="57" t="n">
        <v>132569</v>
      </c>
      <c r="K27" s="8" t="s">
        <v>790</v>
      </c>
      <c r="L27" s="8" t="s">
        <v>791</v>
      </c>
    </row>
    <row r="28" customFormat="false" ht="15" hidden="false" customHeight="true" outlineLevel="0" collapsed="false">
      <c r="A28" s="11" t="s">
        <v>792</v>
      </c>
      <c r="B28" s="48" t="n">
        <v>1500</v>
      </c>
      <c r="D28" s="11" t="s">
        <v>793</v>
      </c>
      <c r="E28" s="55" t="n">
        <f aca="false">AVERAGE(AA57:AA62)</f>
        <v>6355.16666666667</v>
      </c>
      <c r="G28" s="28" t="s">
        <v>794</v>
      </c>
      <c r="H28" s="6" t="s">
        <v>795</v>
      </c>
      <c r="I28" s="57" t="n">
        <v>115138</v>
      </c>
      <c r="J28" s="57" t="n">
        <v>115138</v>
      </c>
      <c r="K28" s="8" t="s">
        <v>790</v>
      </c>
      <c r="L28" s="8" t="s">
        <v>791</v>
      </c>
    </row>
    <row r="29" customFormat="false" ht="15" hidden="false" customHeight="true" outlineLevel="0" collapsed="false">
      <c r="A29" s="11" t="s">
        <v>796</v>
      </c>
      <c r="B29" s="47" t="n">
        <v>2</v>
      </c>
      <c r="D29" s="11" t="s">
        <v>780</v>
      </c>
      <c r="E29" s="58" t="n">
        <f aca="false">AG62+AK62+AO62+AS62</f>
        <v>0</v>
      </c>
      <c r="G29" s="28" t="s">
        <v>797</v>
      </c>
      <c r="H29" s="6" t="s">
        <v>798</v>
      </c>
      <c r="I29" s="57" t="n">
        <v>89709</v>
      </c>
      <c r="J29" s="57" t="n">
        <v>181077</v>
      </c>
      <c r="K29" s="8" t="s">
        <v>790</v>
      </c>
      <c r="L29" s="8" t="s">
        <v>342</v>
      </c>
    </row>
    <row r="30" customFormat="false" ht="15" hidden="false" customHeight="true" outlineLevel="0" collapsed="false">
      <c r="A30" s="11" t="s">
        <v>799</v>
      </c>
      <c r="B30" s="47" t="n">
        <v>2</v>
      </c>
      <c r="G30" s="28" t="s">
        <v>800</v>
      </c>
      <c r="H30" s="6" t="s">
        <v>801</v>
      </c>
      <c r="I30" s="57" t="n">
        <v>142365</v>
      </c>
      <c r="J30" s="57" t="n">
        <v>260477</v>
      </c>
      <c r="K30" s="8" t="s">
        <v>790</v>
      </c>
      <c r="L30" s="8" t="s">
        <v>342</v>
      </c>
    </row>
    <row r="31" customFormat="false" ht="15" hidden="false" customHeight="true" outlineLevel="0" collapsed="false">
      <c r="A31" s="11" t="s">
        <v>802</v>
      </c>
      <c r="B31" s="52" t="n">
        <v>92</v>
      </c>
      <c r="G31" s="28" t="s">
        <v>803</v>
      </c>
      <c r="H31" s="6" t="s">
        <v>804</v>
      </c>
      <c r="I31" s="57" t="n">
        <v>93932</v>
      </c>
      <c r="J31" s="57" t="n">
        <v>93932</v>
      </c>
      <c r="K31" s="8" t="s">
        <v>790</v>
      </c>
      <c r="L31" s="8" t="s">
        <v>42</v>
      </c>
    </row>
    <row r="32" customFormat="false" ht="15" hidden="false" customHeight="true" outlineLevel="0" collapsed="false">
      <c r="A32" s="11" t="s">
        <v>805</v>
      </c>
      <c r="B32" s="52" t="n">
        <v>0.4</v>
      </c>
    </row>
    <row r="33" customFormat="false" ht="15" hidden="false" customHeight="true" outlineLevel="0" collapsed="false">
      <c r="A33" s="11" t="s">
        <v>806</v>
      </c>
      <c r="B33" s="52" t="n">
        <v>96</v>
      </c>
    </row>
    <row r="34" customFormat="false" ht="15" hidden="false" customHeight="true" outlineLevel="0" collapsed="false">
      <c r="A34" s="11" t="s">
        <v>807</v>
      </c>
      <c r="B34" s="52" t="n">
        <v>0.3</v>
      </c>
    </row>
    <row r="35" customFormat="false" ht="15" hidden="false" customHeight="true" outlineLevel="0" collapsed="false">
      <c r="A35" s="11" t="s">
        <v>808</v>
      </c>
      <c r="B35" s="47" t="n">
        <v>0</v>
      </c>
    </row>
    <row r="38" customFormat="false" ht="57.75" hidden="false" customHeight="true" outlineLevel="0" collapsed="false">
      <c r="A38" s="4" t="s">
        <v>809</v>
      </c>
      <c r="B38" s="4" t="s">
        <v>810</v>
      </c>
      <c r="C38" s="4" t="s">
        <v>24</v>
      </c>
      <c r="D38" s="4" t="s">
        <v>811</v>
      </c>
      <c r="E38" s="4" t="s">
        <v>812</v>
      </c>
      <c r="F38" s="4" t="s">
        <v>813</v>
      </c>
      <c r="G38" s="4" t="s">
        <v>814</v>
      </c>
      <c r="H38" s="4" t="s">
        <v>815</v>
      </c>
      <c r="I38" s="4" t="s">
        <v>816</v>
      </c>
      <c r="J38" s="4" t="s">
        <v>22</v>
      </c>
      <c r="K38" s="4" t="s">
        <v>817</v>
      </c>
      <c r="L38" s="4" t="s">
        <v>818</v>
      </c>
      <c r="M38" s="4" t="s">
        <v>819</v>
      </c>
      <c r="N38" s="4" t="s">
        <v>820</v>
      </c>
      <c r="O38" s="4" t="s">
        <v>821</v>
      </c>
      <c r="P38" s="4" t="s">
        <v>822</v>
      </c>
      <c r="Q38" s="4" t="s">
        <v>823</v>
      </c>
      <c r="R38" s="4" t="s">
        <v>824</v>
      </c>
      <c r="S38" s="4" t="s">
        <v>825</v>
      </c>
      <c r="T38" s="4" t="s">
        <v>826</v>
      </c>
      <c r="U38" s="4" t="s">
        <v>827</v>
      </c>
      <c r="V38" s="4" t="s">
        <v>828</v>
      </c>
      <c r="W38" s="4" t="s">
        <v>829</v>
      </c>
      <c r="X38" s="4" t="s">
        <v>830</v>
      </c>
      <c r="Y38" s="4" t="s">
        <v>831</v>
      </c>
      <c r="Z38" s="4" t="s">
        <v>832</v>
      </c>
      <c r="AA38" s="4" t="s">
        <v>833</v>
      </c>
      <c r="AB38" s="4" t="s">
        <v>834</v>
      </c>
      <c r="AD38" s="4" t="s">
        <v>835</v>
      </c>
      <c r="AE38" s="4" t="s">
        <v>836</v>
      </c>
      <c r="AF38" s="4" t="s">
        <v>837</v>
      </c>
      <c r="AG38" s="4" t="s">
        <v>838</v>
      </c>
      <c r="AH38" s="4" t="s">
        <v>839</v>
      </c>
      <c r="AI38" s="4" t="s">
        <v>840</v>
      </c>
      <c r="AJ38" s="4" t="s">
        <v>841</v>
      </c>
      <c r="AK38" s="4" t="s">
        <v>842</v>
      </c>
      <c r="AL38" s="4" t="s">
        <v>843</v>
      </c>
      <c r="AM38" s="4" t="s">
        <v>844</v>
      </c>
      <c r="AN38" s="4" t="s">
        <v>845</v>
      </c>
      <c r="AO38" s="4" t="s">
        <v>846</v>
      </c>
      <c r="AP38" s="4" t="s">
        <v>847</v>
      </c>
      <c r="AQ38" s="4" t="s">
        <v>848</v>
      </c>
      <c r="AR38" s="4" t="s">
        <v>849</v>
      </c>
      <c r="AS38" s="4" t="s">
        <v>850</v>
      </c>
    </row>
    <row r="39" customFormat="false" ht="15" hidden="false" customHeight="true" outlineLevel="0" collapsed="false">
      <c r="A39" s="10" t="n">
        <v>1</v>
      </c>
      <c r="B39" s="59" t="n">
        <f aca="false">AD39*$F$17+AH39*$F$18+AL39*$F$19+AP39*$F$20</f>
        <v>700</v>
      </c>
      <c r="C39" s="60" t="n">
        <f aca="false">B39/$B$6</f>
        <v>0.28</v>
      </c>
      <c r="D39" s="59" t="n">
        <f aca="false">AD39*$G$17+AH39*$G$18+AL39*$G$19+AP39*$G$20</f>
        <v>300</v>
      </c>
      <c r="E39" s="59" t="n">
        <f aca="false">2*D39</f>
        <v>600</v>
      </c>
      <c r="F39" s="10" t="n">
        <f aca="false">ROUNDUP(D39/$B$18,0)</f>
        <v>19</v>
      </c>
      <c r="G39" s="10" t="n">
        <f aca="false">MAX($B$29,ROUNDUP(E39/$B$17,0))</f>
        <v>2</v>
      </c>
      <c r="H39" s="10" t="n">
        <f aca="false">MAX(1,ROUNDUP(F39/$B$20,0))</f>
        <v>1</v>
      </c>
      <c r="I39" s="10" t="n">
        <f aca="false">$B$30+INT(D39/$B$28)</f>
        <v>2</v>
      </c>
      <c r="J39" s="10" t="n">
        <f aca="false">G39</f>
        <v>2</v>
      </c>
      <c r="K39" s="10" t="n">
        <f aca="false">H39</f>
        <v>1</v>
      </c>
      <c r="L39" s="10" t="n">
        <f aca="false">I39</f>
        <v>2</v>
      </c>
      <c r="M39" s="61" t="n">
        <f aca="false">$B$17*(0.7+0.3*65/70)</f>
        <v>880.714285714286</v>
      </c>
      <c r="N39" s="60" t="n">
        <f aca="false">E39/(J39*M39)</f>
        <v>0.340632603406326</v>
      </c>
      <c r="O39" s="60" t="n">
        <f aca="false">F39/(K39*$B$20)</f>
        <v>0.95</v>
      </c>
      <c r="P39" s="61" t="n">
        <f aca="false">$F$11*IF(AND($E$11&gt;0,A39&gt;=$E$11),IF((A39-$E$11+1)*4.3&lt;=$J$11*IF($E$8=1,1.5,1),-0.5,1),0)+$F$12*IF(AND($E$12&gt;0,A39&gt;=$E$12),IF((A39-$E$12+1)*4.3&lt;=$J$12*IF($E$8=1,1.5,1),-0.5,1),0)</f>
        <v>0</v>
      </c>
      <c r="Q39" s="61" t="n">
        <f aca="false">$G$11*IF(AND($E$11&gt;0,A39&gt;=$E$11),IF((A39-$E$11+1)*4.3&lt;=$J$11*IF($E$8=1,1.5,1),-0.5,1),0)+$G$12*IF(AND($E$12&gt;0,A39&gt;=$E$12),IF((A39-$E$12+1)*4.3&lt;=$J$12*IF($E$8=1,1.5,1),-0.5,1),0)</f>
        <v>0</v>
      </c>
      <c r="R39" s="62" t="n">
        <f aca="false">IF(AND($E$11&gt;0,A39=$E$11),$H$11,0)+IF(AND($E$11&gt;0,A39&gt;=$E$11),$I$11,0)+IF(AND($E$12&gt;0,A39=$E$12),$H$12,0)+IF(AND($E$12&gt;0,A39&gt;=$E$12),$I$12,0)</f>
        <v>0</v>
      </c>
      <c r="S39" s="61" t="n">
        <f aca="false">MAX(50,MIN(99.9,$B$31+$B$32*($E$5-10)+Q39-20*MAX(0,O39-1)-5*MAX(0,N39-1.05)))</f>
        <v>94.8</v>
      </c>
      <c r="T39" s="61" t="n">
        <f aca="false">MAX(50,MIN(99.9,$B$33+$B$34*($E$6-10)+0.04*(65-60)+P39-25*MAX(0,C39-0.85)-8*MAX(0,N39-1)))</f>
        <v>95.9</v>
      </c>
      <c r="U39" s="61" t="n">
        <f aca="false">MAX(0,MIN(100,65+0.35*(58+0.6*($E$7-10)-30*MAX(0,N39-1)-20*MAX(0,O39-1)-65)))</f>
        <v>63.39</v>
      </c>
      <c r="V39" s="62" t="n">
        <f aca="false">B39*$B$7+E39*$B$8+D39*$B$9</f>
        <v>15130</v>
      </c>
      <c r="W39" s="62" t="n">
        <f aca="false">(J39*$B$10+K39*$B$11+L39*$B$12)*$B$13/12</f>
        <v>11951.6666666667</v>
      </c>
      <c r="X39" s="62" t="n">
        <f aca="false">F39*$B$19*($B$22*$B$21+$B$23+$B$24)+K39*$B$25+MAX(0,K39-$B$27)*$B$26</f>
        <v>2673.2</v>
      </c>
      <c r="Y39" s="62" t="n">
        <f aca="false">$B$14+$B$15+$B$16</f>
        <v>9000</v>
      </c>
      <c r="Z39" s="62" t="n">
        <f aca="false">IF(AND(AD39=1,AE39&lt;-2),0.05*($F$17*$B$7+2*$G$17*$B$8+$G$17*$B$9),0)+IF(AND(AH39=1,AI39&lt;-2),0.05*($F$18*$B$7+2*$G$18*$B$8+$G$18*$B$9),0)+IF(AND(AL39=1,AM39&lt;-2),0.05*($F$19*$B$7+2*$G$19*$B$8+$G$19*$B$9),0)+IF(AND(AP39=1,AQ39&lt;-2),0.05*($F$20*$B$7+2*$G$20*$B$8+$G$20*$B$9),0)</f>
        <v>0</v>
      </c>
      <c r="AA39" s="63" t="n">
        <f aca="false">V39-W39-X39-Y39-R39-Z39</f>
        <v>-8494.86666666667</v>
      </c>
      <c r="AB39" s="63" t="n">
        <f aca="false">$B$5+AA39</f>
        <v>171505.133333333</v>
      </c>
      <c r="AD39" s="10" t="n">
        <f aca="false">IF(AND($E$17&gt;0,A39&gt;=$E$17,0=0),1,0)</f>
        <v>1</v>
      </c>
      <c r="AE39" s="61" t="n">
        <f aca="false">IF(AD39=1,MIN(S39-$H$17,IF($I$17="",9,T39-$I$17)),"")</f>
        <v>2.8</v>
      </c>
      <c r="AF39" s="61" t="n">
        <f aca="false">IF(AD39=1,MAX(0,MIN(100,60+IF(AE39&gt;=0,3,IF(AE39&gt;=-2,-4,-10)))),60)</f>
        <v>63</v>
      </c>
      <c r="AG39" s="64" t="n">
        <f aca="false">IF(OR(0=1,AND(AD39=1,AF39&lt;25)),1,0)</f>
        <v>0</v>
      </c>
      <c r="AH39" s="10" t="n">
        <f aca="false">IF(AND($E$18&gt;0,A39&gt;=$E$18,0=0),1,0)</f>
        <v>0</v>
      </c>
      <c r="AI39" s="61" t="str">
        <f aca="false">IF(AH39=1,MIN(S39-$H$18,IF($I$18="",9,T39-$I$18)),"")</f>
        <v/>
      </c>
      <c r="AJ39" s="61" t="n">
        <f aca="false">IF(AH39=1,MAX(0,MIN(100,60+IF(AI39&gt;=0,3,IF(AI39&gt;=-2,-4,-10)))),60)</f>
        <v>60</v>
      </c>
      <c r="AK39" s="64" t="n">
        <f aca="false">IF(OR(0=1,AND(AH39=1,AJ39&lt;25)),1,0)</f>
        <v>0</v>
      </c>
      <c r="AL39" s="10" t="n">
        <f aca="false">IF(AND($E$19&gt;0,A39&gt;=$E$19,0=0),1,0)</f>
        <v>0</v>
      </c>
      <c r="AM39" s="61" t="str">
        <f aca="false">IF(AL39=1,MIN(S39-$H$19,IF($I$19="",9,T39-$I$19)),"")</f>
        <v/>
      </c>
      <c r="AN39" s="61" t="n">
        <f aca="false">IF(AL39=1,MAX(0,MIN(100,60+IF(AM39&gt;=0,3,IF(AM39&gt;=-2,-4,-10)))),60)</f>
        <v>60</v>
      </c>
      <c r="AO39" s="64" t="n">
        <f aca="false">IF(OR(0=1,AND(AL39=1,AN39&lt;25)),1,0)</f>
        <v>0</v>
      </c>
      <c r="AP39" s="10" t="n">
        <f aca="false">IF(AND($E$20&gt;0,A39&gt;=$E$20,0=0),1,0)</f>
        <v>0</v>
      </c>
      <c r="AQ39" s="61" t="str">
        <f aca="false">IF(AP39=1,MIN(S39-$H$20,IF($I$20="",9,T39-$I$20)),"")</f>
        <v/>
      </c>
      <c r="AR39" s="61" t="n">
        <f aca="false">IF(AP39=1,MAX(0,MIN(100,60+IF(AQ39&gt;=0,3,IF(AQ39&gt;=-2,-4,-10)))),60)</f>
        <v>60</v>
      </c>
      <c r="AS39" s="64" t="n">
        <f aca="false">IF(OR(0=1,AND(AP39=1,AR39&lt;25)),1,0)</f>
        <v>0</v>
      </c>
    </row>
    <row r="40" customFormat="false" ht="15" hidden="false" customHeight="true" outlineLevel="0" collapsed="false">
      <c r="A40" s="10" t="n">
        <v>2</v>
      </c>
      <c r="B40" s="59" t="n">
        <f aca="false">AD40*$F$17+AH40*$F$18+AL40*$F$19+AP40*$F$20</f>
        <v>700</v>
      </c>
      <c r="C40" s="60" t="n">
        <f aca="false">B40/$B$6</f>
        <v>0.28</v>
      </c>
      <c r="D40" s="59" t="n">
        <f aca="false">AD40*$G$17+AH40*$G$18+AL40*$G$19+AP40*$G$20</f>
        <v>300</v>
      </c>
      <c r="E40" s="59" t="n">
        <f aca="false">2*D40</f>
        <v>600</v>
      </c>
      <c r="F40" s="10" t="n">
        <f aca="false">ROUNDUP(D40/$B$18,0)</f>
        <v>19</v>
      </c>
      <c r="G40" s="10" t="n">
        <f aca="false">MAX($B$29,ROUNDUP(E40/$B$17,0))</f>
        <v>2</v>
      </c>
      <c r="H40" s="10" t="n">
        <f aca="false">MAX(1,ROUNDUP(F40/$B$20,0))</f>
        <v>1</v>
      </c>
      <c r="I40" s="10" t="n">
        <f aca="false">$B$30+INT(D40/$B$28)</f>
        <v>2</v>
      </c>
      <c r="J40" s="10" t="n">
        <f aca="false">IF($B$35=1,G39,G40)</f>
        <v>2</v>
      </c>
      <c r="K40" s="10" t="n">
        <f aca="false">IF($B$35=1,H39,H40)</f>
        <v>1</v>
      </c>
      <c r="L40" s="10" t="n">
        <f aca="false">IF($B$35=1,I39,I40)</f>
        <v>2</v>
      </c>
      <c r="M40" s="61" t="n">
        <f aca="false">$B$17*(0.7+0.3*U39/70)</f>
        <v>874.504285714286</v>
      </c>
      <c r="N40" s="60" t="n">
        <f aca="false">E40/(J40*M40)</f>
        <v>0.343051492028954</v>
      </c>
      <c r="O40" s="60" t="n">
        <f aca="false">F40/(K40*$B$20)</f>
        <v>0.95</v>
      </c>
      <c r="P40" s="61" t="n">
        <f aca="false">$F$11*IF(AND($E$11&gt;0,A40&gt;=$E$11),IF((A40-$E$11+1)*4.3&lt;=$J$11*IF($E$8=1,1.5,1),-0.5,1),0)+$F$12*IF(AND($E$12&gt;0,A40&gt;=$E$12),IF((A40-$E$12+1)*4.3&lt;=$J$12*IF($E$8=1,1.5,1),-0.5,1),0)</f>
        <v>0</v>
      </c>
      <c r="Q40" s="61" t="n">
        <f aca="false">$G$11*IF(AND($E$11&gt;0,A40&gt;=$E$11),IF((A40-$E$11+1)*4.3&lt;=$J$11*IF($E$8=1,1.5,1),-0.5,1),0)+$G$12*IF(AND($E$12&gt;0,A40&gt;=$E$12),IF((A40-$E$12+1)*4.3&lt;=$J$12*IF($E$8=1,1.5,1),-0.5,1),0)</f>
        <v>0</v>
      </c>
      <c r="R40" s="62" t="n">
        <f aca="false">IF(AND($E$11&gt;0,A40=$E$11),$H$11,0)+IF(AND($E$11&gt;0,A40&gt;=$E$11),$I$11,0)+IF(AND($E$12&gt;0,A40=$E$12),$H$12,0)+IF(AND($E$12&gt;0,A40&gt;=$E$12),$I$12,0)</f>
        <v>0</v>
      </c>
      <c r="S40" s="61" t="n">
        <f aca="false">MAX(50,MIN(99.9,$B$31+$B$32*($E$5-10)+Q40-20*MAX(0,O40-1)-5*MAX(0,N40-1.05)))</f>
        <v>94.8</v>
      </c>
      <c r="T40" s="61" t="n">
        <f aca="false">MAX(50,MIN(99.9,$B$33+$B$34*($E$6-10)+0.04*(U39-60)+P40-25*MAX(0,C40-0.85)-8*MAX(0,N40-1)))</f>
        <v>95.8356</v>
      </c>
      <c r="U40" s="61" t="n">
        <f aca="false">MAX(0,MIN(100,U39+0.35*(58+0.6*($E$7-10)-30*MAX(0,N40-1)-20*MAX(0,O40-1)-U39)))</f>
        <v>62.3435</v>
      </c>
      <c r="V40" s="62" t="n">
        <f aca="false">B40*$B$7+E40*$B$8+D40*$B$9</f>
        <v>15130</v>
      </c>
      <c r="W40" s="62" t="n">
        <f aca="false">(J40*$B$10+K40*$B$11+L40*$B$12)*$B$13/12</f>
        <v>11951.6666666667</v>
      </c>
      <c r="X40" s="62" t="n">
        <f aca="false">F40*$B$19*($B$22*$B$21+$B$23+$B$24)+K40*$B$25+MAX(0,K40-$B$27)*$B$26</f>
        <v>2673.2</v>
      </c>
      <c r="Y40" s="62" t="n">
        <f aca="false">$B$14+$B$15+$B$16</f>
        <v>9000</v>
      </c>
      <c r="Z40" s="62" t="n">
        <f aca="false">IF(AND(AD40=1,AE40&lt;-2),0.05*($F$17*$B$7+2*$G$17*$B$8+$G$17*$B$9),0)+IF(AND(AH40=1,AI40&lt;-2),0.05*($F$18*$B$7+2*$G$18*$B$8+$G$18*$B$9),0)+IF(AND(AL40=1,AM40&lt;-2),0.05*($F$19*$B$7+2*$G$19*$B$8+$G$19*$B$9),0)+IF(AND(AP40=1,AQ40&lt;-2),0.05*($F$20*$B$7+2*$G$20*$B$8+$G$20*$B$9),0)</f>
        <v>0</v>
      </c>
      <c r="AA40" s="63" t="n">
        <f aca="false">V40-W40-X40-Y40-R40-Z40</f>
        <v>-8494.86666666667</v>
      </c>
      <c r="AB40" s="63" t="n">
        <f aca="false">AB39+AA40</f>
        <v>163010.266666667</v>
      </c>
      <c r="AD40" s="10" t="n">
        <f aca="false">IF(AND($E$17&gt;0,A40&gt;=$E$17,AG39=0),1,0)</f>
        <v>1</v>
      </c>
      <c r="AE40" s="61" t="n">
        <f aca="false">IF(AD40=1,MIN(S40-$H$17,IF($I$17="",9,T40-$I$17)),"")</f>
        <v>2.8</v>
      </c>
      <c r="AF40" s="61" t="n">
        <f aca="false">IF(AD40=1,MAX(0,MIN(100,AF39+IF(AE40&gt;=0,3,IF(AE40&gt;=-2,-4,-10)))),AF39)</f>
        <v>66</v>
      </c>
      <c r="AG40" s="64" t="n">
        <f aca="false">IF(OR(AG39=1,AND(AD40=1,AF40&lt;25)),1,0)</f>
        <v>0</v>
      </c>
      <c r="AH40" s="10" t="n">
        <f aca="false">IF(AND($E$18&gt;0,A40&gt;=$E$18,AK39=0),1,0)</f>
        <v>0</v>
      </c>
      <c r="AI40" s="61" t="str">
        <f aca="false">IF(AH40=1,MIN(S40-$H$18,IF($I$18="",9,T40-$I$18)),"")</f>
        <v/>
      </c>
      <c r="AJ40" s="61" t="n">
        <f aca="false">IF(AH40=1,MAX(0,MIN(100,AJ39+IF(AI40&gt;=0,3,IF(AI40&gt;=-2,-4,-10)))),AJ39)</f>
        <v>60</v>
      </c>
      <c r="AK40" s="64" t="n">
        <f aca="false">IF(OR(AK39=1,AND(AH40=1,AJ40&lt;25)),1,0)</f>
        <v>0</v>
      </c>
      <c r="AL40" s="10" t="n">
        <f aca="false">IF(AND($E$19&gt;0,A40&gt;=$E$19,AO39=0),1,0)</f>
        <v>0</v>
      </c>
      <c r="AM40" s="61" t="str">
        <f aca="false">IF(AL40=1,MIN(S40-$H$19,IF($I$19="",9,T40-$I$19)),"")</f>
        <v/>
      </c>
      <c r="AN40" s="61" t="n">
        <f aca="false">IF(AL40=1,MAX(0,MIN(100,AN39+IF(AM40&gt;=0,3,IF(AM40&gt;=-2,-4,-10)))),AN39)</f>
        <v>60</v>
      </c>
      <c r="AO40" s="64" t="n">
        <f aca="false">IF(OR(AO39=1,AND(AL40=1,AN40&lt;25)),1,0)</f>
        <v>0</v>
      </c>
      <c r="AP40" s="10" t="n">
        <f aca="false">IF(AND($E$20&gt;0,A40&gt;=$E$20,AS39=0),1,0)</f>
        <v>0</v>
      </c>
      <c r="AQ40" s="61" t="str">
        <f aca="false">IF(AP40=1,MIN(S40-$H$20,IF($I$20="",9,T40-$I$20)),"")</f>
        <v/>
      </c>
      <c r="AR40" s="61" t="n">
        <f aca="false">IF(AP40=1,MAX(0,MIN(100,AR39+IF(AQ40&gt;=0,3,IF(AQ40&gt;=-2,-4,-10)))),AR39)</f>
        <v>60</v>
      </c>
      <c r="AS40" s="64" t="n">
        <f aca="false">IF(OR(AS39=1,AND(AP40=1,AR40&lt;25)),1,0)</f>
        <v>0</v>
      </c>
    </row>
    <row r="41" customFormat="false" ht="15" hidden="false" customHeight="true" outlineLevel="0" collapsed="false">
      <c r="A41" s="10" t="n">
        <v>3</v>
      </c>
      <c r="B41" s="59" t="n">
        <f aca="false">AD41*$F$17+AH41*$F$18+AL41*$F$19+AP41*$F$20</f>
        <v>700</v>
      </c>
      <c r="C41" s="60" t="n">
        <f aca="false">B41/$B$6</f>
        <v>0.28</v>
      </c>
      <c r="D41" s="59" t="n">
        <f aca="false">AD41*$G$17+AH41*$G$18+AL41*$G$19+AP41*$G$20</f>
        <v>300</v>
      </c>
      <c r="E41" s="59" t="n">
        <f aca="false">2*D41</f>
        <v>600</v>
      </c>
      <c r="F41" s="10" t="n">
        <f aca="false">ROUNDUP(D41/$B$18,0)</f>
        <v>19</v>
      </c>
      <c r="G41" s="10" t="n">
        <f aca="false">MAX($B$29,ROUNDUP(E41/$B$17,0))</f>
        <v>2</v>
      </c>
      <c r="H41" s="10" t="n">
        <f aca="false">MAX(1,ROUNDUP(F41/$B$20,0))</f>
        <v>1</v>
      </c>
      <c r="I41" s="10" t="n">
        <f aca="false">$B$30+INT(D41/$B$28)</f>
        <v>2</v>
      </c>
      <c r="J41" s="10" t="n">
        <f aca="false">IF($B$35=1,G40,G41)</f>
        <v>2</v>
      </c>
      <c r="K41" s="10" t="n">
        <f aca="false">IF($B$35=1,H40,H41)</f>
        <v>1</v>
      </c>
      <c r="L41" s="10" t="n">
        <f aca="false">IF($B$35=1,I40,I41)</f>
        <v>2</v>
      </c>
      <c r="M41" s="61" t="n">
        <f aca="false">$B$17*(0.7+0.3*U40/70)</f>
        <v>870.467785714286</v>
      </c>
      <c r="N41" s="60" t="n">
        <f aca="false">E41/(J41*M41)</f>
        <v>0.344642277317393</v>
      </c>
      <c r="O41" s="60" t="n">
        <f aca="false">F41/(K41*$B$20)</f>
        <v>0.95</v>
      </c>
      <c r="P41" s="61" t="n">
        <f aca="false">$F$11*IF(AND($E$11&gt;0,A41&gt;=$E$11),IF((A41-$E$11+1)*4.3&lt;=$J$11*IF($E$8=1,1.5,1),-0.5,1),0)+$F$12*IF(AND($E$12&gt;0,A41&gt;=$E$12),IF((A41-$E$12+1)*4.3&lt;=$J$12*IF($E$8=1,1.5,1),-0.5,1),0)</f>
        <v>1.5</v>
      </c>
      <c r="Q41" s="61" t="n">
        <f aca="false">$G$11*IF(AND($E$11&gt;0,A41&gt;=$E$11),IF((A41-$E$11+1)*4.3&lt;=$J$11*IF($E$8=1,1.5,1),-0.5,1),0)+$G$12*IF(AND($E$12&gt;0,A41&gt;=$E$12),IF((A41-$E$12+1)*4.3&lt;=$J$12*IF($E$8=1,1.5,1),-0.5,1),0)</f>
        <v>0</v>
      </c>
      <c r="R41" s="62" t="n">
        <f aca="false">IF(AND($E$11&gt;0,A41=$E$11),$H$11,0)+IF(AND($E$11&gt;0,A41&gt;=$E$11),$I$11,0)+IF(AND($E$12&gt;0,A41=$E$12),$H$12,0)+IF(AND($E$12&gt;0,A41&gt;=$E$12),$I$12,0)</f>
        <v>12150</v>
      </c>
      <c r="S41" s="61" t="n">
        <f aca="false">MAX(50,MIN(99.9,$B$31+$B$32*($E$5-10)+Q41-20*MAX(0,O41-1)-5*MAX(0,N41-1.05)))</f>
        <v>94.8</v>
      </c>
      <c r="T41" s="61" t="n">
        <f aca="false">MAX(50,MIN(99.9,$B$33+$B$34*($E$6-10)+0.04*(U40-60)+P41-25*MAX(0,C41-0.85)-8*MAX(0,N41-1)))</f>
        <v>97.29374</v>
      </c>
      <c r="U41" s="61" t="n">
        <f aca="false">MAX(0,MIN(100,U40+0.35*(58+0.6*($E$7-10)-30*MAX(0,N41-1)-20*MAX(0,O41-1)-U40)))</f>
        <v>61.663275</v>
      </c>
      <c r="V41" s="62" t="n">
        <f aca="false">B41*$B$7+E41*$B$8+D41*$B$9</f>
        <v>15130</v>
      </c>
      <c r="W41" s="62" t="n">
        <f aca="false">(J41*$B$10+K41*$B$11+L41*$B$12)*$B$13/12</f>
        <v>11951.6666666667</v>
      </c>
      <c r="X41" s="62" t="n">
        <f aca="false">F41*$B$19*($B$22*$B$21+$B$23+$B$24)+K41*$B$25+MAX(0,K41-$B$27)*$B$26</f>
        <v>2673.2</v>
      </c>
      <c r="Y41" s="62" t="n">
        <f aca="false">$B$14+$B$15+$B$16</f>
        <v>9000</v>
      </c>
      <c r="Z41" s="62" t="n">
        <f aca="false">IF(AND(AD41=1,AE41&lt;-2),0.05*($F$17*$B$7+2*$G$17*$B$8+$G$17*$B$9),0)+IF(AND(AH41=1,AI41&lt;-2),0.05*($F$18*$B$7+2*$G$18*$B$8+$G$18*$B$9),0)+IF(AND(AL41=1,AM41&lt;-2),0.05*($F$19*$B$7+2*$G$19*$B$8+$G$19*$B$9),0)+IF(AND(AP41=1,AQ41&lt;-2),0.05*($F$20*$B$7+2*$G$20*$B$8+$G$20*$B$9),0)</f>
        <v>0</v>
      </c>
      <c r="AA41" s="63" t="n">
        <f aca="false">V41-W41-X41-Y41-R41-Z41</f>
        <v>-20644.8666666667</v>
      </c>
      <c r="AB41" s="63" t="n">
        <f aca="false">AB40+AA41</f>
        <v>142365.4</v>
      </c>
      <c r="AD41" s="10" t="n">
        <f aca="false">IF(AND($E$17&gt;0,A41&gt;=$E$17,AG40=0),1,0)</f>
        <v>1</v>
      </c>
      <c r="AE41" s="61" t="n">
        <f aca="false">IF(AD41=1,MIN(S41-$H$17,IF($I$17="",9,T41-$I$17)),"")</f>
        <v>2.8</v>
      </c>
      <c r="AF41" s="61" t="n">
        <f aca="false">IF(AD41=1,MAX(0,MIN(100,AF40+IF(AE41&gt;=0,3,IF(AE41&gt;=-2,-4,-10)))),AF40)</f>
        <v>69</v>
      </c>
      <c r="AG41" s="64" t="n">
        <f aca="false">IF(OR(AG40=1,AND(AD41=1,AF41&lt;25)),1,0)</f>
        <v>0</v>
      </c>
      <c r="AH41" s="10" t="n">
        <f aca="false">IF(AND($E$18&gt;0,A41&gt;=$E$18,AK40=0),1,0)</f>
        <v>0</v>
      </c>
      <c r="AI41" s="61" t="str">
        <f aca="false">IF(AH41=1,MIN(S41-$H$18,IF($I$18="",9,T41-$I$18)),"")</f>
        <v/>
      </c>
      <c r="AJ41" s="61" t="n">
        <f aca="false">IF(AH41=1,MAX(0,MIN(100,AJ40+IF(AI41&gt;=0,3,IF(AI41&gt;=-2,-4,-10)))),AJ40)</f>
        <v>60</v>
      </c>
      <c r="AK41" s="64" t="n">
        <f aca="false">IF(OR(AK40=1,AND(AH41=1,AJ41&lt;25)),1,0)</f>
        <v>0</v>
      </c>
      <c r="AL41" s="10" t="n">
        <f aca="false">IF(AND($E$19&gt;0,A41&gt;=$E$19,AO40=0),1,0)</f>
        <v>0</v>
      </c>
      <c r="AM41" s="61" t="str">
        <f aca="false">IF(AL41=1,MIN(S41-$H$19,IF($I$19="",9,T41-$I$19)),"")</f>
        <v/>
      </c>
      <c r="AN41" s="61" t="n">
        <f aca="false">IF(AL41=1,MAX(0,MIN(100,AN40+IF(AM41&gt;=0,3,IF(AM41&gt;=-2,-4,-10)))),AN40)</f>
        <v>60</v>
      </c>
      <c r="AO41" s="64" t="n">
        <f aca="false">IF(OR(AO40=1,AND(AL41=1,AN41&lt;25)),1,0)</f>
        <v>0</v>
      </c>
      <c r="AP41" s="10" t="n">
        <f aca="false">IF(AND($E$20&gt;0,A41&gt;=$E$20,AS40=0),1,0)</f>
        <v>0</v>
      </c>
      <c r="AQ41" s="61" t="str">
        <f aca="false">IF(AP41=1,MIN(S41-$H$20,IF($I$20="",9,T41-$I$20)),"")</f>
        <v/>
      </c>
      <c r="AR41" s="61" t="n">
        <f aca="false">IF(AP41=1,MAX(0,MIN(100,AR40+IF(AQ41&gt;=0,3,IF(AQ41&gt;=-2,-4,-10)))),AR40)</f>
        <v>60</v>
      </c>
      <c r="AS41" s="64" t="n">
        <f aca="false">IF(OR(AS40=1,AND(AP41=1,AR41&lt;25)),1,0)</f>
        <v>0</v>
      </c>
    </row>
    <row r="42" customFormat="false" ht="15" hidden="false" customHeight="true" outlineLevel="0" collapsed="false">
      <c r="A42" s="10" t="n">
        <v>4</v>
      </c>
      <c r="B42" s="59" t="n">
        <f aca="false">AD42*$F$17+AH42*$F$18+AL42*$F$19+AP42*$F$20</f>
        <v>1300</v>
      </c>
      <c r="C42" s="60" t="n">
        <f aca="false">B42/$B$6</f>
        <v>0.52</v>
      </c>
      <c r="D42" s="59" t="n">
        <f aca="false">AD42*$G$17+AH42*$G$18+AL42*$G$19+AP42*$G$20</f>
        <v>780</v>
      </c>
      <c r="E42" s="59" t="n">
        <f aca="false">2*D42</f>
        <v>1560</v>
      </c>
      <c r="F42" s="10" t="n">
        <f aca="false">ROUNDUP(D42/$B$18,0)</f>
        <v>49</v>
      </c>
      <c r="G42" s="10" t="n">
        <f aca="false">MAX($B$29,ROUNDUP(E42/$B$17,0))</f>
        <v>2</v>
      </c>
      <c r="H42" s="10" t="n">
        <f aca="false">MAX(1,ROUNDUP(F42/$B$20,0))</f>
        <v>3</v>
      </c>
      <c r="I42" s="10" t="n">
        <f aca="false">$B$30+INT(D42/$B$28)</f>
        <v>2</v>
      </c>
      <c r="J42" s="10" t="n">
        <f aca="false">IF($B$35=1,G41,G42)</f>
        <v>2</v>
      </c>
      <c r="K42" s="10" t="n">
        <f aca="false">IF($B$35=1,H41,H42)</f>
        <v>3</v>
      </c>
      <c r="L42" s="10" t="n">
        <f aca="false">IF($B$35=1,I41,I42)</f>
        <v>2</v>
      </c>
      <c r="M42" s="61" t="n">
        <f aca="false">$B$17*(0.7+0.3*U41/70)</f>
        <v>867.844060714286</v>
      </c>
      <c r="N42" s="60" t="n">
        <f aca="false">E42/(J42*M42)</f>
        <v>0.898778980359692</v>
      </c>
      <c r="O42" s="60" t="n">
        <f aca="false">F42/(K42*$B$20)</f>
        <v>0.816666666666667</v>
      </c>
      <c r="P42" s="61" t="n">
        <f aca="false">$F$11*IF(AND($E$11&gt;0,A42&gt;=$E$11),IF((A42-$E$11+1)*4.3&lt;=$J$11*IF($E$8=1,1.5,1),-0.5,1),0)+$F$12*IF(AND($E$12&gt;0,A42&gt;=$E$12),IF((A42-$E$12+1)*4.3&lt;=$J$12*IF($E$8=1,1.5,1),-0.5,1),0)</f>
        <v>1.5</v>
      </c>
      <c r="Q42" s="61" t="n">
        <f aca="false">$G$11*IF(AND($E$11&gt;0,A42&gt;=$E$11),IF((A42-$E$11+1)*4.3&lt;=$J$11*IF($E$8=1,1.5,1),-0.5,1),0)+$G$12*IF(AND($E$12&gt;0,A42&gt;=$E$12),IF((A42-$E$12+1)*4.3&lt;=$J$12*IF($E$8=1,1.5,1),-0.5,1),0)</f>
        <v>0</v>
      </c>
      <c r="R42" s="62" t="n">
        <f aca="false">IF(AND($E$11&gt;0,A42=$E$11),$H$11,0)+IF(AND($E$11&gt;0,A42&gt;=$E$11),$I$11,0)+IF(AND($E$12&gt;0,A42=$E$12),$H$12,0)+IF(AND($E$12&gt;0,A42&gt;=$E$12),$I$12,0)</f>
        <v>150</v>
      </c>
      <c r="S42" s="61" t="n">
        <f aca="false">MAX(50,MIN(99.9,$B$31+$B$32*($E$5-10)+Q42-20*MAX(0,O42-1)-5*MAX(0,N42-1.05)))</f>
        <v>94.8</v>
      </c>
      <c r="T42" s="61" t="n">
        <f aca="false">MAX(50,MIN(99.9,$B$33+$B$34*($E$6-10)+0.04*(U41-60)+P42-25*MAX(0,C42-0.85)-8*MAX(0,N42-1)))</f>
        <v>97.266531</v>
      </c>
      <c r="U42" s="61" t="n">
        <f aca="false">MAX(0,MIN(100,U41+0.35*(58+0.6*($E$7-10)-30*MAX(0,N42-1)-20*MAX(0,O42-1)-U41)))</f>
        <v>61.22112875</v>
      </c>
      <c r="V42" s="62" t="n">
        <f aca="false">B42*$B$7+E42*$B$8+D42*$B$9</f>
        <v>36478</v>
      </c>
      <c r="W42" s="62" t="n">
        <f aca="false">(J42*$B$10+K42*$B$11+L42*$B$12)*$B$13/12</f>
        <v>16685</v>
      </c>
      <c r="X42" s="62" t="n">
        <f aca="false">F42*$B$19*($B$22*$B$21+$B$23+$B$24)+K42*$B$25+MAX(0,K42-$B$27)*$B$26</f>
        <v>7357.2</v>
      </c>
      <c r="Y42" s="62" t="n">
        <f aca="false">$B$14+$B$15+$B$16</f>
        <v>9000</v>
      </c>
      <c r="Z42" s="62" t="n">
        <f aca="false">IF(AND(AD42=1,AE42&lt;-2),0.05*($F$17*$B$7+2*$G$17*$B$8+$G$17*$B$9),0)+IF(AND(AH42=1,AI42&lt;-2),0.05*($F$18*$B$7+2*$G$18*$B$8+$G$18*$B$9),0)+IF(AND(AL42=1,AM42&lt;-2),0.05*($F$19*$B$7+2*$G$19*$B$8+$G$19*$B$9),0)+IF(AND(AP42=1,AQ42&lt;-2),0.05*($F$20*$B$7+2*$G$20*$B$8+$G$20*$B$9),0)</f>
        <v>0</v>
      </c>
      <c r="AA42" s="63" t="n">
        <f aca="false">V42-W42-X42-Y42-R42-Z42</f>
        <v>3285.8</v>
      </c>
      <c r="AB42" s="63" t="n">
        <f aca="false">AB41+AA42</f>
        <v>145651.2</v>
      </c>
      <c r="AD42" s="10" t="n">
        <f aca="false">IF(AND($E$17&gt;0,A42&gt;=$E$17,AG41=0),1,0)</f>
        <v>1</v>
      </c>
      <c r="AE42" s="61" t="n">
        <f aca="false">IF(AD42=1,MIN(S42-$H$17,IF($I$17="",9,T42-$I$17)),"")</f>
        <v>2.8</v>
      </c>
      <c r="AF42" s="61" t="n">
        <f aca="false">IF(AD42=1,MAX(0,MIN(100,AF41+IF(AE42&gt;=0,3,IF(AE42&gt;=-2,-4,-10)))),AF41)</f>
        <v>72</v>
      </c>
      <c r="AG42" s="64" t="n">
        <f aca="false">IF(OR(AG41=1,AND(AD42=1,AF42&lt;25)),1,0)</f>
        <v>0</v>
      </c>
      <c r="AH42" s="10" t="n">
        <f aca="false">IF(AND($E$18&gt;0,A42&gt;=$E$18,AK41=0),1,0)</f>
        <v>1</v>
      </c>
      <c r="AI42" s="61" t="n">
        <f aca="false">IF(AH42=1,MIN(S42-$H$18,IF($I$18="",9,T42-$I$18)),"")</f>
        <v>1.266531</v>
      </c>
      <c r="AJ42" s="61" t="n">
        <f aca="false">IF(AH42=1,MAX(0,MIN(100,AJ41+IF(AI42&gt;=0,3,IF(AI42&gt;=-2,-4,-10)))),AJ41)</f>
        <v>63</v>
      </c>
      <c r="AK42" s="64" t="n">
        <f aca="false">IF(OR(AK41=1,AND(AH42=1,AJ42&lt;25)),1,0)</f>
        <v>0</v>
      </c>
      <c r="AL42" s="10" t="n">
        <f aca="false">IF(AND($E$19&gt;0,A42&gt;=$E$19,AO41=0),1,0)</f>
        <v>0</v>
      </c>
      <c r="AM42" s="61" t="str">
        <f aca="false">IF(AL42=1,MIN(S42-$H$19,IF($I$19="",9,T42-$I$19)),"")</f>
        <v/>
      </c>
      <c r="AN42" s="61" t="n">
        <f aca="false">IF(AL42=1,MAX(0,MIN(100,AN41+IF(AM42&gt;=0,3,IF(AM42&gt;=-2,-4,-10)))),AN41)</f>
        <v>60</v>
      </c>
      <c r="AO42" s="64" t="n">
        <f aca="false">IF(OR(AO41=1,AND(AL42=1,AN42&lt;25)),1,0)</f>
        <v>0</v>
      </c>
      <c r="AP42" s="10" t="n">
        <f aca="false">IF(AND($E$20&gt;0,A42&gt;=$E$20,AS41=0),1,0)</f>
        <v>0</v>
      </c>
      <c r="AQ42" s="61" t="str">
        <f aca="false">IF(AP42=1,MIN(S42-$H$20,IF($I$20="",9,T42-$I$20)),"")</f>
        <v/>
      </c>
      <c r="AR42" s="61" t="n">
        <f aca="false">IF(AP42=1,MAX(0,MIN(100,AR41+IF(AQ42&gt;=0,3,IF(AQ42&gt;=-2,-4,-10)))),AR41)</f>
        <v>60</v>
      </c>
      <c r="AS42" s="64" t="n">
        <f aca="false">IF(OR(AS41=1,AND(AP42=1,AR42&lt;25)),1,0)</f>
        <v>0</v>
      </c>
    </row>
    <row r="43" customFormat="false" ht="15" hidden="false" customHeight="true" outlineLevel="0" collapsed="false">
      <c r="A43" s="10" t="n">
        <v>5</v>
      </c>
      <c r="B43" s="59" t="n">
        <f aca="false">AD43*$F$17+AH43*$F$18+AL43*$F$19+AP43*$F$20</f>
        <v>1300</v>
      </c>
      <c r="C43" s="60" t="n">
        <f aca="false">B43/$B$6</f>
        <v>0.52</v>
      </c>
      <c r="D43" s="59" t="n">
        <f aca="false">AD43*$G$17+AH43*$G$18+AL43*$G$19+AP43*$G$20</f>
        <v>780</v>
      </c>
      <c r="E43" s="59" t="n">
        <f aca="false">2*D43</f>
        <v>1560</v>
      </c>
      <c r="F43" s="10" t="n">
        <f aca="false">ROUNDUP(D43/$B$18,0)</f>
        <v>49</v>
      </c>
      <c r="G43" s="10" t="n">
        <f aca="false">MAX($B$29,ROUNDUP(E43/$B$17,0))</f>
        <v>2</v>
      </c>
      <c r="H43" s="10" t="n">
        <f aca="false">MAX(1,ROUNDUP(F43/$B$20,0))</f>
        <v>3</v>
      </c>
      <c r="I43" s="10" t="n">
        <f aca="false">$B$30+INT(D43/$B$28)</f>
        <v>2</v>
      </c>
      <c r="J43" s="10" t="n">
        <f aca="false">IF($B$35=1,G42,G43)</f>
        <v>2</v>
      </c>
      <c r="K43" s="10" t="n">
        <f aca="false">IF($B$35=1,H42,H43)</f>
        <v>3</v>
      </c>
      <c r="L43" s="10" t="n">
        <f aca="false">IF($B$35=1,I42,I43)</f>
        <v>2</v>
      </c>
      <c r="M43" s="61" t="n">
        <f aca="false">$B$17*(0.7+0.3*U42/70)</f>
        <v>866.138639464286</v>
      </c>
      <c r="N43" s="60" t="n">
        <f aca="false">E43/(J43*M43)</f>
        <v>0.900548670224939</v>
      </c>
      <c r="O43" s="60" t="n">
        <f aca="false">F43/(K43*$B$20)</f>
        <v>0.816666666666667</v>
      </c>
      <c r="P43" s="61" t="n">
        <f aca="false">$F$11*IF(AND($E$11&gt;0,A43&gt;=$E$11),IF((A43-$E$11+1)*4.3&lt;=$J$11*IF($E$8=1,1.5,1),-0.5,1),0)+$F$12*IF(AND($E$12&gt;0,A43&gt;=$E$12),IF((A43-$E$12+1)*4.3&lt;=$J$12*IF($E$8=1,1.5,1),-0.5,1),0)</f>
        <v>1.5</v>
      </c>
      <c r="Q43" s="61" t="n">
        <f aca="false">$G$11*IF(AND($E$11&gt;0,A43&gt;=$E$11),IF((A43-$E$11+1)*4.3&lt;=$J$11*IF($E$8=1,1.5,1),-0.5,1),0)+$G$12*IF(AND($E$12&gt;0,A43&gt;=$E$12),IF((A43-$E$12+1)*4.3&lt;=$J$12*IF($E$8=1,1.5,1),-0.5,1),0)</f>
        <v>0</v>
      </c>
      <c r="R43" s="62" t="n">
        <f aca="false">IF(AND($E$11&gt;0,A43=$E$11),$H$11,0)+IF(AND($E$11&gt;0,A43&gt;=$E$11),$I$11,0)+IF(AND($E$12&gt;0,A43=$E$12),$H$12,0)+IF(AND($E$12&gt;0,A43&gt;=$E$12),$I$12,0)</f>
        <v>150</v>
      </c>
      <c r="S43" s="61" t="n">
        <f aca="false">MAX(50,MIN(99.9,$B$31+$B$32*($E$5-10)+Q43-20*MAX(0,O43-1)-5*MAX(0,N43-1.05)))</f>
        <v>94.8</v>
      </c>
      <c r="T43" s="61" t="n">
        <f aca="false">MAX(50,MIN(99.9,$B$33+$B$34*($E$6-10)+0.04*(U42-60)+P43-25*MAX(0,C43-0.85)-8*MAX(0,N43-1)))</f>
        <v>97.24884515</v>
      </c>
      <c r="U43" s="61" t="n">
        <f aca="false">MAX(0,MIN(100,U42+0.35*(58+0.6*($E$7-10)-30*MAX(0,N43-1)-20*MAX(0,O43-1)-U42)))</f>
        <v>60.9337336875</v>
      </c>
      <c r="V43" s="62" t="n">
        <f aca="false">B43*$B$7+E43*$B$8+D43*$B$9</f>
        <v>36478</v>
      </c>
      <c r="W43" s="62" t="n">
        <f aca="false">(J43*$B$10+K43*$B$11+L43*$B$12)*$B$13/12</f>
        <v>16685</v>
      </c>
      <c r="X43" s="62" t="n">
        <f aca="false">F43*$B$19*($B$22*$B$21+$B$23+$B$24)+K43*$B$25+MAX(0,K43-$B$27)*$B$26</f>
        <v>7357.2</v>
      </c>
      <c r="Y43" s="62" t="n">
        <f aca="false">$B$14+$B$15+$B$16</f>
        <v>9000</v>
      </c>
      <c r="Z43" s="62" t="n">
        <f aca="false">IF(AND(AD43=1,AE43&lt;-2),0.05*($F$17*$B$7+2*$G$17*$B$8+$G$17*$B$9),0)+IF(AND(AH43=1,AI43&lt;-2),0.05*($F$18*$B$7+2*$G$18*$B$8+$G$18*$B$9),0)+IF(AND(AL43=1,AM43&lt;-2),0.05*($F$19*$B$7+2*$G$19*$B$8+$G$19*$B$9),0)+IF(AND(AP43=1,AQ43&lt;-2),0.05*($F$20*$B$7+2*$G$20*$B$8+$G$20*$B$9),0)</f>
        <v>0</v>
      </c>
      <c r="AA43" s="63" t="n">
        <f aca="false">V43-W43-X43-Y43-R43-Z43</f>
        <v>3285.8</v>
      </c>
      <c r="AB43" s="63" t="n">
        <f aca="false">AB42+AA43</f>
        <v>148937</v>
      </c>
      <c r="AD43" s="10" t="n">
        <f aca="false">IF(AND($E$17&gt;0,A43&gt;=$E$17,AG42=0),1,0)</f>
        <v>1</v>
      </c>
      <c r="AE43" s="61" t="n">
        <f aca="false">IF(AD43=1,MIN(S43-$H$17,IF($I$17="",9,T43-$I$17)),"")</f>
        <v>2.8</v>
      </c>
      <c r="AF43" s="61" t="n">
        <f aca="false">IF(AD43=1,MAX(0,MIN(100,AF42+IF(AE43&gt;=0,3,IF(AE43&gt;=-2,-4,-10)))),AF42)</f>
        <v>75</v>
      </c>
      <c r="AG43" s="64" t="n">
        <f aca="false">IF(OR(AG42=1,AND(AD43=1,AF43&lt;25)),1,0)</f>
        <v>0</v>
      </c>
      <c r="AH43" s="10" t="n">
        <f aca="false">IF(AND($E$18&gt;0,A43&gt;=$E$18,AK42=0),1,0)</f>
        <v>1</v>
      </c>
      <c r="AI43" s="61" t="n">
        <f aca="false">IF(AH43=1,MIN(S43-$H$18,IF($I$18="",9,T43-$I$18)),"")</f>
        <v>1.24884515000001</v>
      </c>
      <c r="AJ43" s="61" t="n">
        <f aca="false">IF(AH43=1,MAX(0,MIN(100,AJ42+IF(AI43&gt;=0,3,IF(AI43&gt;=-2,-4,-10)))),AJ42)</f>
        <v>66</v>
      </c>
      <c r="AK43" s="64" t="n">
        <f aca="false">IF(OR(AK42=1,AND(AH43=1,AJ43&lt;25)),1,0)</f>
        <v>0</v>
      </c>
      <c r="AL43" s="10" t="n">
        <f aca="false">IF(AND($E$19&gt;0,A43&gt;=$E$19,AO42=0),1,0)</f>
        <v>0</v>
      </c>
      <c r="AM43" s="61" t="str">
        <f aca="false">IF(AL43=1,MIN(S43-$H$19,IF($I$19="",9,T43-$I$19)),"")</f>
        <v/>
      </c>
      <c r="AN43" s="61" t="n">
        <f aca="false">IF(AL43=1,MAX(0,MIN(100,AN42+IF(AM43&gt;=0,3,IF(AM43&gt;=-2,-4,-10)))),AN42)</f>
        <v>60</v>
      </c>
      <c r="AO43" s="64" t="n">
        <f aca="false">IF(OR(AO42=1,AND(AL43=1,AN43&lt;25)),1,0)</f>
        <v>0</v>
      </c>
      <c r="AP43" s="10" t="n">
        <f aca="false">IF(AND($E$20&gt;0,A43&gt;=$E$20,AS42=0),1,0)</f>
        <v>0</v>
      </c>
      <c r="AQ43" s="61" t="str">
        <f aca="false">IF(AP43=1,MIN(S43-$H$20,IF($I$20="",9,T43-$I$20)),"")</f>
        <v/>
      </c>
      <c r="AR43" s="61" t="n">
        <f aca="false">IF(AP43=1,MAX(0,MIN(100,AR42+IF(AQ43&gt;=0,3,IF(AQ43&gt;=-2,-4,-10)))),AR42)</f>
        <v>60</v>
      </c>
      <c r="AS43" s="64" t="n">
        <f aca="false">IF(OR(AS42=1,AND(AP43=1,AR43&lt;25)),1,0)</f>
        <v>0</v>
      </c>
    </row>
    <row r="44" customFormat="false" ht="15" hidden="false" customHeight="true" outlineLevel="0" collapsed="false">
      <c r="A44" s="10" t="n">
        <v>6</v>
      </c>
      <c r="B44" s="59" t="n">
        <f aca="false">AD44*$F$17+AH44*$F$18+AL44*$F$19+AP44*$F$20</f>
        <v>1300</v>
      </c>
      <c r="C44" s="60" t="n">
        <f aca="false">B44/$B$6</f>
        <v>0.52</v>
      </c>
      <c r="D44" s="59" t="n">
        <f aca="false">AD44*$G$17+AH44*$G$18+AL44*$G$19+AP44*$G$20</f>
        <v>780</v>
      </c>
      <c r="E44" s="59" t="n">
        <f aca="false">2*D44</f>
        <v>1560</v>
      </c>
      <c r="F44" s="10" t="n">
        <f aca="false">ROUNDUP(D44/$B$18,0)</f>
        <v>49</v>
      </c>
      <c r="G44" s="10" t="n">
        <f aca="false">MAX($B$29,ROUNDUP(E44/$B$17,0))</f>
        <v>2</v>
      </c>
      <c r="H44" s="10" t="n">
        <f aca="false">MAX(1,ROUNDUP(F44/$B$20,0))</f>
        <v>3</v>
      </c>
      <c r="I44" s="10" t="n">
        <f aca="false">$B$30+INT(D44/$B$28)</f>
        <v>2</v>
      </c>
      <c r="J44" s="10" t="n">
        <f aca="false">IF($B$35=1,G43,G44)</f>
        <v>2</v>
      </c>
      <c r="K44" s="10" t="n">
        <f aca="false">IF($B$35=1,H43,H44)</f>
        <v>3</v>
      </c>
      <c r="L44" s="10" t="n">
        <f aca="false">IF($B$35=1,I43,I44)</f>
        <v>2</v>
      </c>
      <c r="M44" s="61" t="n">
        <f aca="false">$B$17*(0.7+0.3*U43/70)</f>
        <v>865.030115651786</v>
      </c>
      <c r="N44" s="60" t="n">
        <f aca="false">E44/(J44*M44)</f>
        <v>0.901702710560872</v>
      </c>
      <c r="O44" s="60" t="n">
        <f aca="false">F44/(K44*$B$20)</f>
        <v>0.816666666666667</v>
      </c>
      <c r="P44" s="61" t="n">
        <f aca="false">$F$11*IF(AND($E$11&gt;0,A44&gt;=$E$11),IF((A44-$E$11+1)*4.3&lt;=$J$11*IF($E$8=1,1.5,1),-0.5,1),0)+$F$12*IF(AND($E$12&gt;0,A44&gt;=$E$12),IF((A44-$E$12+1)*4.3&lt;=$J$12*IF($E$8=1,1.5,1),-0.5,1),0)</f>
        <v>1.5</v>
      </c>
      <c r="Q44" s="61" t="n">
        <f aca="false">$G$11*IF(AND($E$11&gt;0,A44&gt;=$E$11),IF((A44-$E$11+1)*4.3&lt;=$J$11*IF($E$8=1,1.5,1),-0.5,1),0)+$G$12*IF(AND($E$12&gt;0,A44&gt;=$E$12),IF((A44-$E$12+1)*4.3&lt;=$J$12*IF($E$8=1,1.5,1),-0.5,1),0)</f>
        <v>0</v>
      </c>
      <c r="R44" s="62" t="n">
        <f aca="false">IF(AND($E$11&gt;0,A44=$E$11),$H$11,0)+IF(AND($E$11&gt;0,A44&gt;=$E$11),$I$11,0)+IF(AND($E$12&gt;0,A44=$E$12),$H$12,0)+IF(AND($E$12&gt;0,A44&gt;=$E$12),$I$12,0)</f>
        <v>150</v>
      </c>
      <c r="S44" s="61" t="n">
        <f aca="false">MAX(50,MIN(99.9,$B$31+$B$32*($E$5-10)+Q44-20*MAX(0,O44-1)-5*MAX(0,N44-1.05)))</f>
        <v>94.8</v>
      </c>
      <c r="T44" s="61" t="n">
        <f aca="false">MAX(50,MIN(99.9,$B$33+$B$34*($E$6-10)+0.04*(U43-60)+P44-25*MAX(0,C44-0.85)-8*MAX(0,N44-1)))</f>
        <v>97.2373493475</v>
      </c>
      <c r="U44" s="61" t="n">
        <f aca="false">MAX(0,MIN(100,U43+0.35*(58+0.6*($E$7-10)-30*MAX(0,N44-1)-20*MAX(0,O44-1)-U43)))</f>
        <v>60.746926896875</v>
      </c>
      <c r="V44" s="62" t="n">
        <f aca="false">B44*$B$7+E44*$B$8+D44*$B$9</f>
        <v>36478</v>
      </c>
      <c r="W44" s="62" t="n">
        <f aca="false">(J44*$B$10+K44*$B$11+L44*$B$12)*$B$13/12</f>
        <v>16685</v>
      </c>
      <c r="X44" s="62" t="n">
        <f aca="false">F44*$B$19*($B$22*$B$21+$B$23+$B$24)+K44*$B$25+MAX(0,K44-$B$27)*$B$26</f>
        <v>7357.2</v>
      </c>
      <c r="Y44" s="62" t="n">
        <f aca="false">$B$14+$B$15+$B$16</f>
        <v>9000</v>
      </c>
      <c r="Z44" s="62" t="n">
        <f aca="false">IF(AND(AD44=1,AE44&lt;-2),0.05*($F$17*$B$7+2*$G$17*$B$8+$G$17*$B$9),0)+IF(AND(AH44=1,AI44&lt;-2),0.05*($F$18*$B$7+2*$G$18*$B$8+$G$18*$B$9),0)+IF(AND(AL44=1,AM44&lt;-2),0.05*($F$19*$B$7+2*$G$19*$B$8+$G$19*$B$9),0)+IF(AND(AP44=1,AQ44&lt;-2),0.05*($F$20*$B$7+2*$G$20*$B$8+$G$20*$B$9),0)</f>
        <v>0</v>
      </c>
      <c r="AA44" s="63" t="n">
        <f aca="false">V44-W44-X44-Y44-R44-Z44</f>
        <v>3285.8</v>
      </c>
      <c r="AB44" s="63" t="n">
        <f aca="false">AB43+AA44</f>
        <v>152222.8</v>
      </c>
      <c r="AD44" s="10" t="n">
        <f aca="false">IF(AND($E$17&gt;0,A44&gt;=$E$17,AG43=0),1,0)</f>
        <v>1</v>
      </c>
      <c r="AE44" s="61" t="n">
        <f aca="false">IF(AD44=1,MIN(S44-$H$17,IF($I$17="",9,T44-$I$17)),"")</f>
        <v>2.8</v>
      </c>
      <c r="AF44" s="61" t="n">
        <f aca="false">IF(AD44=1,MAX(0,MIN(100,AF43+IF(AE44&gt;=0,3,IF(AE44&gt;=-2,-4,-10)))),AF43)</f>
        <v>78</v>
      </c>
      <c r="AG44" s="64" t="n">
        <f aca="false">IF(OR(AG43=1,AND(AD44=1,AF44&lt;25)),1,0)</f>
        <v>0</v>
      </c>
      <c r="AH44" s="10" t="n">
        <f aca="false">IF(AND($E$18&gt;0,A44&gt;=$E$18,AK43=0),1,0)</f>
        <v>1</v>
      </c>
      <c r="AI44" s="61" t="n">
        <f aca="false">IF(AH44=1,MIN(S44-$H$18,IF($I$18="",9,T44-$I$18)),"")</f>
        <v>1.2373493475</v>
      </c>
      <c r="AJ44" s="61" t="n">
        <f aca="false">IF(AH44=1,MAX(0,MIN(100,AJ43+IF(AI44&gt;=0,3,IF(AI44&gt;=-2,-4,-10)))),AJ43)</f>
        <v>69</v>
      </c>
      <c r="AK44" s="64" t="n">
        <f aca="false">IF(OR(AK43=1,AND(AH44=1,AJ44&lt;25)),1,0)</f>
        <v>0</v>
      </c>
      <c r="AL44" s="10" t="n">
        <f aca="false">IF(AND($E$19&gt;0,A44&gt;=$E$19,AO43=0),1,0)</f>
        <v>0</v>
      </c>
      <c r="AM44" s="61" t="str">
        <f aca="false">IF(AL44=1,MIN(S44-$H$19,IF($I$19="",9,T44-$I$19)),"")</f>
        <v/>
      </c>
      <c r="AN44" s="61" t="n">
        <f aca="false">IF(AL44=1,MAX(0,MIN(100,AN43+IF(AM44&gt;=0,3,IF(AM44&gt;=-2,-4,-10)))),AN43)</f>
        <v>60</v>
      </c>
      <c r="AO44" s="64" t="n">
        <f aca="false">IF(OR(AO43=1,AND(AL44=1,AN44&lt;25)),1,0)</f>
        <v>0</v>
      </c>
      <c r="AP44" s="10" t="n">
        <f aca="false">IF(AND($E$20&gt;0,A44&gt;=$E$20,AS43=0),1,0)</f>
        <v>0</v>
      </c>
      <c r="AQ44" s="61" t="str">
        <f aca="false">IF(AP44=1,MIN(S44-$H$20,IF($I$20="",9,T44-$I$20)),"")</f>
        <v/>
      </c>
      <c r="AR44" s="61" t="n">
        <f aca="false">IF(AP44=1,MAX(0,MIN(100,AR43+IF(AQ44&gt;=0,3,IF(AQ44&gt;=-2,-4,-10)))),AR43)</f>
        <v>60</v>
      </c>
      <c r="AS44" s="64" t="n">
        <f aca="false">IF(OR(AS43=1,AND(AP44=1,AR44&lt;25)),1,0)</f>
        <v>0</v>
      </c>
    </row>
    <row r="45" customFormat="false" ht="15" hidden="false" customHeight="true" outlineLevel="0" collapsed="false">
      <c r="A45" s="10" t="n">
        <v>7</v>
      </c>
      <c r="B45" s="59" t="n">
        <f aca="false">AD45*$F$17+AH45*$F$18+AL45*$F$19+AP45*$F$20</f>
        <v>1300</v>
      </c>
      <c r="C45" s="60" t="n">
        <f aca="false">B45/$B$6</f>
        <v>0.52</v>
      </c>
      <c r="D45" s="59" t="n">
        <f aca="false">AD45*$G$17+AH45*$G$18+AL45*$G$19+AP45*$G$20</f>
        <v>780</v>
      </c>
      <c r="E45" s="59" t="n">
        <f aca="false">2*D45</f>
        <v>1560</v>
      </c>
      <c r="F45" s="10" t="n">
        <f aca="false">ROUNDUP(D45/$B$18,0)</f>
        <v>49</v>
      </c>
      <c r="G45" s="10" t="n">
        <f aca="false">MAX($B$29,ROUNDUP(E45/$B$17,0))</f>
        <v>2</v>
      </c>
      <c r="H45" s="10" t="n">
        <f aca="false">MAX(1,ROUNDUP(F45/$B$20,0))</f>
        <v>3</v>
      </c>
      <c r="I45" s="10" t="n">
        <f aca="false">$B$30+INT(D45/$B$28)</f>
        <v>2</v>
      </c>
      <c r="J45" s="10" t="n">
        <f aca="false">IF($B$35=1,G44,G45)</f>
        <v>2</v>
      </c>
      <c r="K45" s="10" t="n">
        <f aca="false">IF($B$35=1,H44,H45)</f>
        <v>3</v>
      </c>
      <c r="L45" s="10" t="n">
        <f aca="false">IF($B$35=1,I44,I45)</f>
        <v>2</v>
      </c>
      <c r="M45" s="61" t="n">
        <f aca="false">$B$17*(0.7+0.3*U44/70)</f>
        <v>864.309575173661</v>
      </c>
      <c r="N45" s="60" t="n">
        <f aca="false">E45/(J45*M45)</f>
        <v>0.902454424207066</v>
      </c>
      <c r="O45" s="60" t="n">
        <f aca="false">F45/(K45*$B$20)</f>
        <v>0.816666666666667</v>
      </c>
      <c r="P45" s="61" t="n">
        <f aca="false">$F$11*IF(AND($E$11&gt;0,A45&gt;=$E$11),IF((A45-$E$11+1)*4.3&lt;=$J$11*IF($E$8=1,1.5,1),-0.5,1),0)+$F$12*IF(AND($E$12&gt;0,A45&gt;=$E$12),IF((A45-$E$12+1)*4.3&lt;=$J$12*IF($E$8=1,1.5,1),-0.5,1),0)</f>
        <v>1.5</v>
      </c>
      <c r="Q45" s="61" t="n">
        <f aca="false">$G$11*IF(AND($E$11&gt;0,A45&gt;=$E$11),IF((A45-$E$11+1)*4.3&lt;=$J$11*IF($E$8=1,1.5,1),-0.5,1),0)+$G$12*IF(AND($E$12&gt;0,A45&gt;=$E$12),IF((A45-$E$12+1)*4.3&lt;=$J$12*IF($E$8=1,1.5,1),-0.5,1),0)</f>
        <v>0</v>
      </c>
      <c r="R45" s="62" t="n">
        <f aca="false">IF(AND($E$11&gt;0,A45=$E$11),$H$11,0)+IF(AND($E$11&gt;0,A45&gt;=$E$11),$I$11,0)+IF(AND($E$12&gt;0,A45=$E$12),$H$12,0)+IF(AND($E$12&gt;0,A45&gt;=$E$12),$I$12,0)</f>
        <v>150</v>
      </c>
      <c r="S45" s="61" t="n">
        <f aca="false">MAX(50,MIN(99.9,$B$31+$B$32*($E$5-10)+Q45-20*MAX(0,O45-1)-5*MAX(0,N45-1.05)))</f>
        <v>94.8</v>
      </c>
      <c r="T45" s="61" t="n">
        <f aca="false">MAX(50,MIN(99.9,$B$33+$B$34*($E$6-10)+0.04*(U44-60)+P45-25*MAX(0,C45-0.85)-8*MAX(0,N45-1)))</f>
        <v>97.229877075875</v>
      </c>
      <c r="U45" s="61" t="n">
        <f aca="false">MAX(0,MIN(100,U44+0.35*(58+0.6*($E$7-10)-30*MAX(0,N45-1)-20*MAX(0,O45-1)-U44)))</f>
        <v>60.6255024829688</v>
      </c>
      <c r="V45" s="62" t="n">
        <f aca="false">B45*$B$7+E45*$B$8+D45*$B$9</f>
        <v>36478</v>
      </c>
      <c r="W45" s="62" t="n">
        <f aca="false">(J45*$B$10+K45*$B$11+L45*$B$12)*$B$13/12</f>
        <v>16685</v>
      </c>
      <c r="X45" s="62" t="n">
        <f aca="false">F45*$B$19*($B$22*$B$21+$B$23+$B$24)+K45*$B$25+MAX(0,K45-$B$27)*$B$26</f>
        <v>7357.2</v>
      </c>
      <c r="Y45" s="62" t="n">
        <f aca="false">$B$14+$B$15+$B$16</f>
        <v>9000</v>
      </c>
      <c r="Z45" s="62" t="n">
        <f aca="false">IF(AND(AD45=1,AE45&lt;-2),0.05*($F$17*$B$7+2*$G$17*$B$8+$G$17*$B$9),0)+IF(AND(AH45=1,AI45&lt;-2),0.05*($F$18*$B$7+2*$G$18*$B$8+$G$18*$B$9),0)+IF(AND(AL45=1,AM45&lt;-2),0.05*($F$19*$B$7+2*$G$19*$B$8+$G$19*$B$9),0)+IF(AND(AP45=1,AQ45&lt;-2),0.05*($F$20*$B$7+2*$G$20*$B$8+$G$20*$B$9),0)</f>
        <v>0</v>
      </c>
      <c r="AA45" s="63" t="n">
        <f aca="false">V45-W45-X45-Y45-R45-Z45</f>
        <v>3285.8</v>
      </c>
      <c r="AB45" s="63" t="n">
        <f aca="false">AB44+AA45</f>
        <v>155508.6</v>
      </c>
      <c r="AD45" s="10" t="n">
        <f aca="false">IF(AND($E$17&gt;0,A45&gt;=$E$17,AG44=0),1,0)</f>
        <v>1</v>
      </c>
      <c r="AE45" s="61" t="n">
        <f aca="false">IF(AD45=1,MIN(S45-$H$17,IF($I$17="",9,T45-$I$17)),"")</f>
        <v>2.8</v>
      </c>
      <c r="AF45" s="61" t="n">
        <f aca="false">IF(AD45=1,MAX(0,MIN(100,AF44+IF(AE45&gt;=0,3,IF(AE45&gt;=-2,-4,-10)))),AF44)</f>
        <v>81</v>
      </c>
      <c r="AG45" s="64" t="n">
        <f aca="false">IF(OR(AG44=1,AND(AD45=1,AF45&lt;25)),1,0)</f>
        <v>0</v>
      </c>
      <c r="AH45" s="10" t="n">
        <f aca="false">IF(AND($E$18&gt;0,A45&gt;=$E$18,AK44=0),1,0)</f>
        <v>1</v>
      </c>
      <c r="AI45" s="61" t="n">
        <f aca="false">IF(AH45=1,MIN(S45-$H$18,IF($I$18="",9,T45-$I$18)),"")</f>
        <v>1.22987707587501</v>
      </c>
      <c r="AJ45" s="61" t="n">
        <f aca="false">IF(AH45=1,MAX(0,MIN(100,AJ44+IF(AI45&gt;=0,3,IF(AI45&gt;=-2,-4,-10)))),AJ44)</f>
        <v>72</v>
      </c>
      <c r="AK45" s="64" t="n">
        <f aca="false">IF(OR(AK44=1,AND(AH45=1,AJ45&lt;25)),1,0)</f>
        <v>0</v>
      </c>
      <c r="AL45" s="10" t="n">
        <f aca="false">IF(AND($E$19&gt;0,A45&gt;=$E$19,AO44=0),1,0)</f>
        <v>0</v>
      </c>
      <c r="AM45" s="61" t="str">
        <f aca="false">IF(AL45=1,MIN(S45-$H$19,IF($I$19="",9,T45-$I$19)),"")</f>
        <v/>
      </c>
      <c r="AN45" s="61" t="n">
        <f aca="false">IF(AL45=1,MAX(0,MIN(100,AN44+IF(AM45&gt;=0,3,IF(AM45&gt;=-2,-4,-10)))),AN44)</f>
        <v>60</v>
      </c>
      <c r="AO45" s="64" t="n">
        <f aca="false">IF(OR(AO44=1,AND(AL45=1,AN45&lt;25)),1,0)</f>
        <v>0</v>
      </c>
      <c r="AP45" s="10" t="n">
        <f aca="false">IF(AND($E$20&gt;0,A45&gt;=$E$20,AS44=0),1,0)</f>
        <v>0</v>
      </c>
      <c r="AQ45" s="61" t="str">
        <f aca="false">IF(AP45=1,MIN(S45-$H$20,IF($I$20="",9,T45-$I$20)),"")</f>
        <v/>
      </c>
      <c r="AR45" s="61" t="n">
        <f aca="false">IF(AP45=1,MAX(0,MIN(100,AR44+IF(AQ45&gt;=0,3,IF(AQ45&gt;=-2,-4,-10)))),AR44)</f>
        <v>60</v>
      </c>
      <c r="AS45" s="64" t="n">
        <f aca="false">IF(OR(AS44=1,AND(AP45=1,AR45&lt;25)),1,0)</f>
        <v>0</v>
      </c>
    </row>
    <row r="46" customFormat="false" ht="15" hidden="false" customHeight="true" outlineLevel="0" collapsed="false">
      <c r="A46" s="10" t="n">
        <v>8</v>
      </c>
      <c r="B46" s="59" t="n">
        <f aca="false">AD46*$F$17+AH46*$F$18+AL46*$F$19+AP46*$F$20</f>
        <v>1300</v>
      </c>
      <c r="C46" s="60" t="n">
        <f aca="false">B46/$B$6</f>
        <v>0.52</v>
      </c>
      <c r="D46" s="59" t="n">
        <f aca="false">AD46*$G$17+AH46*$G$18+AL46*$G$19+AP46*$G$20</f>
        <v>780</v>
      </c>
      <c r="E46" s="59" t="n">
        <f aca="false">2*D46</f>
        <v>1560</v>
      </c>
      <c r="F46" s="10" t="n">
        <f aca="false">ROUNDUP(D46/$B$18,0)</f>
        <v>49</v>
      </c>
      <c r="G46" s="10" t="n">
        <f aca="false">MAX($B$29,ROUNDUP(E46/$B$17,0))</f>
        <v>2</v>
      </c>
      <c r="H46" s="10" t="n">
        <f aca="false">MAX(1,ROUNDUP(F46/$B$20,0))</f>
        <v>3</v>
      </c>
      <c r="I46" s="10" t="n">
        <f aca="false">$B$30+INT(D46/$B$28)</f>
        <v>2</v>
      </c>
      <c r="J46" s="10" t="n">
        <f aca="false">IF($B$35=1,G45,G46)</f>
        <v>2</v>
      </c>
      <c r="K46" s="10" t="n">
        <f aca="false">IF($B$35=1,H45,H46)</f>
        <v>3</v>
      </c>
      <c r="L46" s="10" t="n">
        <f aca="false">IF($B$35=1,I45,I46)</f>
        <v>2</v>
      </c>
      <c r="M46" s="61" t="n">
        <f aca="false">$B$17*(0.7+0.3*U45/70)</f>
        <v>863.841223862879</v>
      </c>
      <c r="N46" s="60" t="n">
        <f aca="false">E46/(J46*M46)</f>
        <v>0.902943710549072</v>
      </c>
      <c r="O46" s="60" t="n">
        <f aca="false">F46/(K46*$B$20)</f>
        <v>0.816666666666667</v>
      </c>
      <c r="P46" s="61" t="n">
        <f aca="false">$F$11*IF(AND($E$11&gt;0,A46&gt;=$E$11),IF((A46-$E$11+1)*4.3&lt;=$J$11*IF($E$8=1,1.5,1),-0.5,1),0)+$F$12*IF(AND($E$12&gt;0,A46&gt;=$E$12),IF((A46-$E$12+1)*4.3&lt;=$J$12*IF($E$8=1,1.5,1),-0.5,1),0)</f>
        <v>1.5</v>
      </c>
      <c r="Q46" s="61" t="n">
        <f aca="false">$G$11*IF(AND($E$11&gt;0,A46&gt;=$E$11),IF((A46-$E$11+1)*4.3&lt;=$J$11*IF($E$8=1,1.5,1),-0.5,1),0)+$G$12*IF(AND($E$12&gt;0,A46&gt;=$E$12),IF((A46-$E$12+1)*4.3&lt;=$J$12*IF($E$8=1,1.5,1),-0.5,1),0)</f>
        <v>0</v>
      </c>
      <c r="R46" s="62" t="n">
        <f aca="false">IF(AND($E$11&gt;0,A46=$E$11),$H$11,0)+IF(AND($E$11&gt;0,A46&gt;=$E$11),$I$11,0)+IF(AND($E$12&gt;0,A46=$E$12),$H$12,0)+IF(AND($E$12&gt;0,A46&gt;=$E$12),$I$12,0)</f>
        <v>150</v>
      </c>
      <c r="S46" s="61" t="n">
        <f aca="false">MAX(50,MIN(99.9,$B$31+$B$32*($E$5-10)+Q46-20*MAX(0,O46-1)-5*MAX(0,N46-1.05)))</f>
        <v>94.8</v>
      </c>
      <c r="T46" s="61" t="n">
        <f aca="false">MAX(50,MIN(99.9,$B$33+$B$34*($E$6-10)+0.04*(U45-60)+P46-25*MAX(0,C46-0.85)-8*MAX(0,N46-1)))</f>
        <v>97.2250200993188</v>
      </c>
      <c r="U46" s="61" t="n">
        <f aca="false">MAX(0,MIN(100,U45+0.35*(58+0.6*($E$7-10)-30*MAX(0,N46-1)-20*MAX(0,O46-1)-U45)))</f>
        <v>60.5465766139297</v>
      </c>
      <c r="V46" s="62" t="n">
        <f aca="false">B46*$B$7+E46*$B$8+D46*$B$9</f>
        <v>36478</v>
      </c>
      <c r="W46" s="62" t="n">
        <f aca="false">(J46*$B$10+K46*$B$11+L46*$B$12)*$B$13/12</f>
        <v>16685</v>
      </c>
      <c r="X46" s="62" t="n">
        <f aca="false">F46*$B$19*($B$22*$B$21+$B$23+$B$24)+K46*$B$25+MAX(0,K46-$B$27)*$B$26</f>
        <v>7357.2</v>
      </c>
      <c r="Y46" s="62" t="n">
        <f aca="false">$B$14+$B$15+$B$16</f>
        <v>9000</v>
      </c>
      <c r="Z46" s="62" t="n">
        <f aca="false">IF(AND(AD46=1,AE46&lt;-2),0.05*($F$17*$B$7+2*$G$17*$B$8+$G$17*$B$9),0)+IF(AND(AH46=1,AI46&lt;-2),0.05*($F$18*$B$7+2*$G$18*$B$8+$G$18*$B$9),0)+IF(AND(AL46=1,AM46&lt;-2),0.05*($F$19*$B$7+2*$G$19*$B$8+$G$19*$B$9),0)+IF(AND(AP46=1,AQ46&lt;-2),0.05*($F$20*$B$7+2*$G$20*$B$8+$G$20*$B$9),0)</f>
        <v>0</v>
      </c>
      <c r="AA46" s="63" t="n">
        <f aca="false">V46-W46-X46-Y46-R46-Z46</f>
        <v>3285.8</v>
      </c>
      <c r="AB46" s="63" t="n">
        <f aca="false">AB45+AA46</f>
        <v>158794.4</v>
      </c>
      <c r="AD46" s="10" t="n">
        <f aca="false">IF(AND($E$17&gt;0,A46&gt;=$E$17,AG45=0),1,0)</f>
        <v>1</v>
      </c>
      <c r="AE46" s="61" t="n">
        <f aca="false">IF(AD46=1,MIN(S46-$H$17,IF($I$17="",9,T46-$I$17)),"")</f>
        <v>2.8</v>
      </c>
      <c r="AF46" s="61" t="n">
        <f aca="false">IF(AD46=1,MAX(0,MIN(100,AF45+IF(AE46&gt;=0,3,IF(AE46&gt;=-2,-4,-10)))),AF45)</f>
        <v>84</v>
      </c>
      <c r="AG46" s="64" t="n">
        <f aca="false">IF(OR(AG45=1,AND(AD46=1,AF46&lt;25)),1,0)</f>
        <v>0</v>
      </c>
      <c r="AH46" s="10" t="n">
        <f aca="false">IF(AND($E$18&gt;0,A46&gt;=$E$18,AK45=0),1,0)</f>
        <v>1</v>
      </c>
      <c r="AI46" s="61" t="n">
        <f aca="false">IF(AH46=1,MIN(S46-$H$18,IF($I$18="",9,T46-$I$18)),"")</f>
        <v>1.22502009931875</v>
      </c>
      <c r="AJ46" s="61" t="n">
        <f aca="false">IF(AH46=1,MAX(0,MIN(100,AJ45+IF(AI46&gt;=0,3,IF(AI46&gt;=-2,-4,-10)))),AJ45)</f>
        <v>75</v>
      </c>
      <c r="AK46" s="64" t="n">
        <f aca="false">IF(OR(AK45=1,AND(AH46=1,AJ46&lt;25)),1,0)</f>
        <v>0</v>
      </c>
      <c r="AL46" s="10" t="n">
        <f aca="false">IF(AND($E$19&gt;0,A46&gt;=$E$19,AO45=0),1,0)</f>
        <v>0</v>
      </c>
      <c r="AM46" s="61" t="str">
        <f aca="false">IF(AL46=1,MIN(S46-$H$19,IF($I$19="",9,T46-$I$19)),"")</f>
        <v/>
      </c>
      <c r="AN46" s="61" t="n">
        <f aca="false">IF(AL46=1,MAX(0,MIN(100,AN45+IF(AM46&gt;=0,3,IF(AM46&gt;=-2,-4,-10)))),AN45)</f>
        <v>60</v>
      </c>
      <c r="AO46" s="64" t="n">
        <f aca="false">IF(OR(AO45=1,AND(AL46=1,AN46&lt;25)),1,0)</f>
        <v>0</v>
      </c>
      <c r="AP46" s="10" t="n">
        <f aca="false">IF(AND($E$20&gt;0,A46&gt;=$E$20,AS45=0),1,0)</f>
        <v>0</v>
      </c>
      <c r="AQ46" s="61" t="str">
        <f aca="false">IF(AP46=1,MIN(S46-$H$20,IF($I$20="",9,T46-$I$20)),"")</f>
        <v/>
      </c>
      <c r="AR46" s="61" t="n">
        <f aca="false">IF(AP46=1,MAX(0,MIN(100,AR45+IF(AQ46&gt;=0,3,IF(AQ46&gt;=-2,-4,-10)))),AR45)</f>
        <v>60</v>
      </c>
      <c r="AS46" s="64" t="n">
        <f aca="false">IF(OR(AS45=1,AND(AP46=1,AR46&lt;25)),1,0)</f>
        <v>0</v>
      </c>
    </row>
    <row r="47" customFormat="false" ht="15" hidden="false" customHeight="true" outlineLevel="0" collapsed="false">
      <c r="A47" s="10" t="n">
        <v>9</v>
      </c>
      <c r="B47" s="59" t="n">
        <f aca="false">AD47*$F$17+AH47*$F$18+AL47*$F$19+AP47*$F$20</f>
        <v>1800</v>
      </c>
      <c r="C47" s="60" t="n">
        <f aca="false">B47/$B$6</f>
        <v>0.72</v>
      </c>
      <c r="D47" s="59" t="n">
        <f aca="false">AD47*$G$17+AH47*$G$18+AL47*$G$19+AP47*$G$20</f>
        <v>1030</v>
      </c>
      <c r="E47" s="59" t="n">
        <f aca="false">2*D47</f>
        <v>2060</v>
      </c>
      <c r="F47" s="10" t="n">
        <f aca="false">ROUNDUP(D47/$B$18,0)</f>
        <v>65</v>
      </c>
      <c r="G47" s="10" t="n">
        <f aca="false">MAX($B$29,ROUNDUP(E47/$B$17,0))</f>
        <v>3</v>
      </c>
      <c r="H47" s="10" t="n">
        <f aca="false">MAX(1,ROUNDUP(F47/$B$20,0))</f>
        <v>4</v>
      </c>
      <c r="I47" s="10" t="n">
        <f aca="false">$B$30+INT(D47/$B$28)</f>
        <v>2</v>
      </c>
      <c r="J47" s="10" t="n">
        <f aca="false">IF($B$35=1,G46,G47)</f>
        <v>3</v>
      </c>
      <c r="K47" s="10" t="n">
        <f aca="false">IF($B$35=1,H46,H47)</f>
        <v>4</v>
      </c>
      <c r="L47" s="10" t="n">
        <f aca="false">IF($B$35=1,I46,I47)</f>
        <v>2</v>
      </c>
      <c r="M47" s="61" t="n">
        <f aca="false">$B$17*(0.7+0.3*U46/70)</f>
        <v>863.536795510872</v>
      </c>
      <c r="N47" s="60" t="n">
        <f aca="false">E47/(J47*M47)</f>
        <v>0.795179395060325</v>
      </c>
      <c r="O47" s="60" t="n">
        <f aca="false">F47/(K47*$B$20)</f>
        <v>0.8125</v>
      </c>
      <c r="P47" s="61" t="n">
        <f aca="false">$F$11*IF(AND($E$11&gt;0,A47&gt;=$E$11),IF((A47-$E$11+1)*4.3&lt;=$J$11*IF($E$8=1,1.5,1),-0.5,1),0)+$F$12*IF(AND($E$12&gt;0,A47&gt;=$E$12),IF((A47-$E$12+1)*4.3&lt;=$J$12*IF($E$8=1,1.5,1),-0.5,1),0)</f>
        <v>1.5</v>
      </c>
      <c r="Q47" s="61" t="n">
        <f aca="false">$G$11*IF(AND($E$11&gt;0,A47&gt;=$E$11),IF((A47-$E$11+1)*4.3&lt;=$J$11*IF($E$8=1,1.5,1),-0.5,1),0)+$G$12*IF(AND($E$12&gt;0,A47&gt;=$E$12),IF((A47-$E$12+1)*4.3&lt;=$J$12*IF($E$8=1,1.5,1),-0.5,1),0)</f>
        <v>0</v>
      </c>
      <c r="R47" s="62" t="n">
        <f aca="false">IF(AND($E$11&gt;0,A47=$E$11),$H$11,0)+IF(AND($E$11&gt;0,A47&gt;=$E$11),$I$11,0)+IF(AND($E$12&gt;0,A47=$E$12),$H$12,0)+IF(AND($E$12&gt;0,A47&gt;=$E$12),$I$12,0)</f>
        <v>150</v>
      </c>
      <c r="S47" s="61" t="n">
        <f aca="false">MAX(50,MIN(99.9,$B$31+$B$32*($E$5-10)+Q47-20*MAX(0,O47-1)-5*MAX(0,N47-1.05)))</f>
        <v>94.8</v>
      </c>
      <c r="T47" s="61" t="n">
        <f aca="false">MAX(50,MIN(99.9,$B$33+$B$34*($E$6-10)+0.04*(U46-60)+P47-25*MAX(0,C47-0.85)-8*MAX(0,N47-1)))</f>
        <v>97.2218630645572</v>
      </c>
      <c r="U47" s="61" t="n">
        <f aca="false">MAX(0,MIN(100,U46+0.35*(58+0.6*($E$7-10)-30*MAX(0,N47-1)-20*MAX(0,O47-1)-U46)))</f>
        <v>60.4952747990543</v>
      </c>
      <c r="V47" s="62" t="n">
        <f aca="false">B47*$B$7+E47*$B$8+D47*$B$9</f>
        <v>48628</v>
      </c>
      <c r="W47" s="62" t="n">
        <f aca="false">(J47*$B$10+K47*$B$11+L47*$B$12)*$B$13/12</f>
        <v>21240.8333333333</v>
      </c>
      <c r="X47" s="62" t="n">
        <f aca="false">F47*$B$19*($B$22*$B$21+$B$23+$B$24)+K47*$B$25+MAX(0,K47-$B$27)*$B$26</f>
        <v>11882</v>
      </c>
      <c r="Y47" s="62" t="n">
        <f aca="false">$B$14+$B$15+$B$16</f>
        <v>9000</v>
      </c>
      <c r="Z47" s="62" t="n">
        <f aca="false">IF(AND(AD47=1,AE47&lt;-2),0.05*($F$17*$B$7+2*$G$17*$B$8+$G$17*$B$9),0)+IF(AND(AH47=1,AI47&lt;-2),0.05*($F$18*$B$7+2*$G$18*$B$8+$G$18*$B$9),0)+IF(AND(AL47=1,AM47&lt;-2),0.05*($F$19*$B$7+2*$G$19*$B$8+$G$19*$B$9),0)+IF(AND(AP47=1,AQ47&lt;-2),0.05*($F$20*$B$7+2*$G$20*$B$8+$G$20*$B$9),0)</f>
        <v>0</v>
      </c>
      <c r="AA47" s="63" t="n">
        <f aca="false">V47-W47-X47-Y47-R47-Z47</f>
        <v>6355.16666666667</v>
      </c>
      <c r="AB47" s="63" t="n">
        <f aca="false">AB46+AA47</f>
        <v>165149.566666667</v>
      </c>
      <c r="AD47" s="10" t="n">
        <f aca="false">IF(AND($E$17&gt;0,A47&gt;=$E$17,AG46=0),1,0)</f>
        <v>1</v>
      </c>
      <c r="AE47" s="61" t="n">
        <f aca="false">IF(AD47=1,MIN(S47-$H$17,IF($I$17="",9,T47-$I$17)),"")</f>
        <v>2.8</v>
      </c>
      <c r="AF47" s="61" t="n">
        <f aca="false">IF(AD47=1,MAX(0,MIN(100,AF46+IF(AE47&gt;=0,3,IF(AE47&gt;=-2,-4,-10)))),AF46)</f>
        <v>87</v>
      </c>
      <c r="AG47" s="64" t="n">
        <f aca="false">IF(OR(AG46=1,AND(AD47=1,AF47&lt;25)),1,0)</f>
        <v>0</v>
      </c>
      <c r="AH47" s="10" t="n">
        <f aca="false">IF(AND($E$18&gt;0,A47&gt;=$E$18,AK46=0),1,0)</f>
        <v>1</v>
      </c>
      <c r="AI47" s="61" t="n">
        <f aca="false">IF(AH47=1,MIN(S47-$H$18,IF($I$18="",9,T47-$I$18)),"")</f>
        <v>1.22186306455718</v>
      </c>
      <c r="AJ47" s="61" t="n">
        <f aca="false">IF(AH47=1,MAX(0,MIN(100,AJ46+IF(AI47&gt;=0,3,IF(AI47&gt;=-2,-4,-10)))),AJ46)</f>
        <v>78</v>
      </c>
      <c r="AK47" s="64" t="n">
        <f aca="false">IF(OR(AK46=1,AND(AH47=1,AJ47&lt;25)),1,0)</f>
        <v>0</v>
      </c>
      <c r="AL47" s="10" t="n">
        <f aca="false">IF(AND($E$19&gt;0,A47&gt;=$E$19,AO46=0),1,0)</f>
        <v>1</v>
      </c>
      <c r="AM47" s="61" t="n">
        <f aca="false">IF(AL47=1,MIN(S47-$H$19,IF($I$19="",9,T47-$I$19)),"")</f>
        <v>0.221863064557184</v>
      </c>
      <c r="AN47" s="61" t="n">
        <f aca="false">IF(AL47=1,MAX(0,MIN(100,AN46+IF(AM47&gt;=0,3,IF(AM47&gt;=-2,-4,-10)))),AN46)</f>
        <v>63</v>
      </c>
      <c r="AO47" s="64" t="n">
        <f aca="false">IF(OR(AO46=1,AND(AL47=1,AN47&lt;25)),1,0)</f>
        <v>0</v>
      </c>
      <c r="AP47" s="10" t="n">
        <f aca="false">IF(AND($E$20&gt;0,A47&gt;=$E$20,AS46=0),1,0)</f>
        <v>0</v>
      </c>
      <c r="AQ47" s="61" t="str">
        <f aca="false">IF(AP47=1,MIN(S47-$H$20,IF($I$20="",9,T47-$I$20)),"")</f>
        <v/>
      </c>
      <c r="AR47" s="61" t="n">
        <f aca="false">IF(AP47=1,MAX(0,MIN(100,AR46+IF(AQ47&gt;=0,3,IF(AQ47&gt;=-2,-4,-10)))),AR46)</f>
        <v>60</v>
      </c>
      <c r="AS47" s="64" t="n">
        <f aca="false">IF(OR(AS46=1,AND(AP47=1,AR47&lt;25)),1,0)</f>
        <v>0</v>
      </c>
    </row>
    <row r="48" customFormat="false" ht="15" hidden="false" customHeight="true" outlineLevel="0" collapsed="false">
      <c r="A48" s="10" t="n">
        <v>10</v>
      </c>
      <c r="B48" s="59" t="n">
        <f aca="false">AD48*$F$17+AH48*$F$18+AL48*$F$19+AP48*$F$20</f>
        <v>1800</v>
      </c>
      <c r="C48" s="60" t="n">
        <f aca="false">B48/$B$6</f>
        <v>0.72</v>
      </c>
      <c r="D48" s="59" t="n">
        <f aca="false">AD48*$G$17+AH48*$G$18+AL48*$G$19+AP48*$G$20</f>
        <v>1030</v>
      </c>
      <c r="E48" s="59" t="n">
        <f aca="false">2*D48</f>
        <v>2060</v>
      </c>
      <c r="F48" s="10" t="n">
        <f aca="false">ROUNDUP(D48/$B$18,0)</f>
        <v>65</v>
      </c>
      <c r="G48" s="10" t="n">
        <f aca="false">MAX($B$29,ROUNDUP(E48/$B$17,0))</f>
        <v>3</v>
      </c>
      <c r="H48" s="10" t="n">
        <f aca="false">MAX(1,ROUNDUP(F48/$B$20,0))</f>
        <v>4</v>
      </c>
      <c r="I48" s="10" t="n">
        <f aca="false">$B$30+INT(D48/$B$28)</f>
        <v>2</v>
      </c>
      <c r="J48" s="10" t="n">
        <f aca="false">IF($B$35=1,G47,G48)</f>
        <v>3</v>
      </c>
      <c r="K48" s="10" t="n">
        <f aca="false">IF($B$35=1,H47,H48)</f>
        <v>4</v>
      </c>
      <c r="L48" s="10" t="n">
        <f aca="false">IF($B$35=1,I47,I48)</f>
        <v>2</v>
      </c>
      <c r="M48" s="61" t="n">
        <f aca="false">$B$17*(0.7+0.3*U47/70)</f>
        <v>863.338917082067</v>
      </c>
      <c r="N48" s="60" t="n">
        <f aca="false">E48/(J48*M48)</f>
        <v>0.79536165123597</v>
      </c>
      <c r="O48" s="60" t="n">
        <f aca="false">F48/(K48*$B$20)</f>
        <v>0.8125</v>
      </c>
      <c r="P48" s="61" t="n">
        <f aca="false">$F$11*IF(AND($E$11&gt;0,A48&gt;=$E$11),IF((A48-$E$11+1)*4.3&lt;=$J$11*IF($E$8=1,1.5,1),-0.5,1),0)+$F$12*IF(AND($E$12&gt;0,A48&gt;=$E$12),IF((A48-$E$12+1)*4.3&lt;=$J$12*IF($E$8=1,1.5,1),-0.5,1),0)</f>
        <v>1.5</v>
      </c>
      <c r="Q48" s="61" t="n">
        <f aca="false">$G$11*IF(AND($E$11&gt;0,A48&gt;=$E$11),IF((A48-$E$11+1)*4.3&lt;=$J$11*IF($E$8=1,1.5,1),-0.5,1),0)+$G$12*IF(AND($E$12&gt;0,A48&gt;=$E$12),IF((A48-$E$12+1)*4.3&lt;=$J$12*IF($E$8=1,1.5,1),-0.5,1),0)</f>
        <v>0</v>
      </c>
      <c r="R48" s="62" t="n">
        <f aca="false">IF(AND($E$11&gt;0,A48=$E$11),$H$11,0)+IF(AND($E$11&gt;0,A48&gt;=$E$11),$I$11,0)+IF(AND($E$12&gt;0,A48=$E$12),$H$12,0)+IF(AND($E$12&gt;0,A48&gt;=$E$12),$I$12,0)</f>
        <v>150</v>
      </c>
      <c r="S48" s="61" t="n">
        <f aca="false">MAX(50,MIN(99.9,$B$31+$B$32*($E$5-10)+Q48-20*MAX(0,O48-1)-5*MAX(0,N48-1.05)))</f>
        <v>94.8</v>
      </c>
      <c r="T48" s="61" t="n">
        <f aca="false">MAX(50,MIN(99.9,$B$33+$B$34*($E$6-10)+0.04*(U47-60)+P48-25*MAX(0,C48-0.85)-8*MAX(0,N48-1)))</f>
        <v>97.2198109919622</v>
      </c>
      <c r="U48" s="61" t="n">
        <f aca="false">MAX(0,MIN(100,U47+0.35*(58+0.6*($E$7-10)-30*MAX(0,N48-1)-20*MAX(0,O48-1)-U47)))</f>
        <v>60.4619286193853</v>
      </c>
      <c r="V48" s="62" t="n">
        <f aca="false">B48*$B$7+E48*$B$8+D48*$B$9</f>
        <v>48628</v>
      </c>
      <c r="W48" s="62" t="n">
        <f aca="false">(J48*$B$10+K48*$B$11+L48*$B$12)*$B$13/12</f>
        <v>21240.8333333333</v>
      </c>
      <c r="X48" s="62" t="n">
        <f aca="false">F48*$B$19*($B$22*$B$21+$B$23+$B$24)+K48*$B$25+MAX(0,K48-$B$27)*$B$26</f>
        <v>11882</v>
      </c>
      <c r="Y48" s="62" t="n">
        <f aca="false">$B$14+$B$15+$B$16</f>
        <v>9000</v>
      </c>
      <c r="Z48" s="62" t="n">
        <f aca="false">IF(AND(AD48=1,AE48&lt;-2),0.05*($F$17*$B$7+2*$G$17*$B$8+$G$17*$B$9),0)+IF(AND(AH48=1,AI48&lt;-2),0.05*($F$18*$B$7+2*$G$18*$B$8+$G$18*$B$9),0)+IF(AND(AL48=1,AM48&lt;-2),0.05*($F$19*$B$7+2*$G$19*$B$8+$G$19*$B$9),0)+IF(AND(AP48=1,AQ48&lt;-2),0.05*($F$20*$B$7+2*$G$20*$B$8+$G$20*$B$9),0)</f>
        <v>0</v>
      </c>
      <c r="AA48" s="63" t="n">
        <f aca="false">V48-W48-X48-Y48-R48-Z48</f>
        <v>6355.16666666667</v>
      </c>
      <c r="AB48" s="63" t="n">
        <f aca="false">AB47+AA48</f>
        <v>171504.733333333</v>
      </c>
      <c r="AD48" s="10" t="n">
        <f aca="false">IF(AND($E$17&gt;0,A48&gt;=$E$17,AG47=0),1,0)</f>
        <v>1</v>
      </c>
      <c r="AE48" s="61" t="n">
        <f aca="false">IF(AD48=1,MIN(S48-$H$17,IF($I$17="",9,T48-$I$17)),"")</f>
        <v>2.8</v>
      </c>
      <c r="AF48" s="61" t="n">
        <f aca="false">IF(AD48=1,MAX(0,MIN(100,AF47+IF(AE48&gt;=0,3,IF(AE48&gt;=-2,-4,-10)))),AF47)</f>
        <v>90</v>
      </c>
      <c r="AG48" s="64" t="n">
        <f aca="false">IF(OR(AG47=1,AND(AD48=1,AF48&lt;25)),1,0)</f>
        <v>0</v>
      </c>
      <c r="AH48" s="10" t="n">
        <f aca="false">IF(AND($E$18&gt;0,A48&gt;=$E$18,AK47=0),1,0)</f>
        <v>1</v>
      </c>
      <c r="AI48" s="61" t="n">
        <f aca="false">IF(AH48=1,MIN(S48-$H$18,IF($I$18="",9,T48-$I$18)),"")</f>
        <v>1.21981099196218</v>
      </c>
      <c r="AJ48" s="61" t="n">
        <f aca="false">IF(AH48=1,MAX(0,MIN(100,AJ47+IF(AI48&gt;=0,3,IF(AI48&gt;=-2,-4,-10)))),AJ47)</f>
        <v>81</v>
      </c>
      <c r="AK48" s="64" t="n">
        <f aca="false">IF(OR(AK47=1,AND(AH48=1,AJ48&lt;25)),1,0)</f>
        <v>0</v>
      </c>
      <c r="AL48" s="10" t="n">
        <f aca="false">IF(AND($E$19&gt;0,A48&gt;=$E$19,AO47=0),1,0)</f>
        <v>1</v>
      </c>
      <c r="AM48" s="61" t="n">
        <f aca="false">IF(AL48=1,MIN(S48-$H$19,IF($I$19="",9,T48-$I$19)),"")</f>
        <v>0.219810991962177</v>
      </c>
      <c r="AN48" s="61" t="n">
        <f aca="false">IF(AL48=1,MAX(0,MIN(100,AN47+IF(AM48&gt;=0,3,IF(AM48&gt;=-2,-4,-10)))),AN47)</f>
        <v>66</v>
      </c>
      <c r="AO48" s="64" t="n">
        <f aca="false">IF(OR(AO47=1,AND(AL48=1,AN48&lt;25)),1,0)</f>
        <v>0</v>
      </c>
      <c r="AP48" s="10" t="n">
        <f aca="false">IF(AND($E$20&gt;0,A48&gt;=$E$20,AS47=0),1,0)</f>
        <v>0</v>
      </c>
      <c r="AQ48" s="61" t="str">
        <f aca="false">IF(AP48=1,MIN(S48-$H$20,IF($I$20="",9,T48-$I$20)),"")</f>
        <v/>
      </c>
      <c r="AR48" s="61" t="n">
        <f aca="false">IF(AP48=1,MAX(0,MIN(100,AR47+IF(AQ48&gt;=0,3,IF(AQ48&gt;=-2,-4,-10)))),AR47)</f>
        <v>60</v>
      </c>
      <c r="AS48" s="64" t="n">
        <f aca="false">IF(OR(AS47=1,AND(AP48=1,AR48&lt;25)),1,0)</f>
        <v>0</v>
      </c>
    </row>
    <row r="49" customFormat="false" ht="15" hidden="false" customHeight="true" outlineLevel="0" collapsed="false">
      <c r="A49" s="10" t="n">
        <v>11</v>
      </c>
      <c r="B49" s="59" t="n">
        <f aca="false">AD49*$F$17+AH49*$F$18+AL49*$F$19+AP49*$F$20</f>
        <v>1800</v>
      </c>
      <c r="C49" s="60" t="n">
        <f aca="false">B49/$B$6</f>
        <v>0.72</v>
      </c>
      <c r="D49" s="59" t="n">
        <f aca="false">AD49*$G$17+AH49*$G$18+AL49*$G$19+AP49*$G$20</f>
        <v>1030</v>
      </c>
      <c r="E49" s="59" t="n">
        <f aca="false">2*D49</f>
        <v>2060</v>
      </c>
      <c r="F49" s="10" t="n">
        <f aca="false">ROUNDUP(D49/$B$18,0)</f>
        <v>65</v>
      </c>
      <c r="G49" s="10" t="n">
        <f aca="false">MAX($B$29,ROUNDUP(E49/$B$17,0))</f>
        <v>3</v>
      </c>
      <c r="H49" s="10" t="n">
        <f aca="false">MAX(1,ROUNDUP(F49/$B$20,0))</f>
        <v>4</v>
      </c>
      <c r="I49" s="10" t="n">
        <f aca="false">$B$30+INT(D49/$B$28)</f>
        <v>2</v>
      </c>
      <c r="J49" s="10" t="n">
        <f aca="false">IF($B$35=1,G48,G49)</f>
        <v>3</v>
      </c>
      <c r="K49" s="10" t="n">
        <f aca="false">IF($B$35=1,H48,H49)</f>
        <v>4</v>
      </c>
      <c r="L49" s="10" t="n">
        <f aca="false">IF($B$35=1,I48,I49)</f>
        <v>2</v>
      </c>
      <c r="M49" s="61" t="n">
        <f aca="false">$B$17*(0.7+0.3*U48/70)</f>
        <v>863.210296103343</v>
      </c>
      <c r="N49" s="60" t="n">
        <f aca="false">E49/(J49*M49)</f>
        <v>0.795480162558741</v>
      </c>
      <c r="O49" s="60" t="n">
        <f aca="false">F49/(K49*$B$20)</f>
        <v>0.8125</v>
      </c>
      <c r="P49" s="61" t="n">
        <f aca="false">$F$11*IF(AND($E$11&gt;0,A49&gt;=$E$11),IF((A49-$E$11+1)*4.3&lt;=$J$11*IF($E$8=1,1.5,1),-0.5,1),0)+$F$12*IF(AND($E$12&gt;0,A49&gt;=$E$12),IF((A49-$E$12+1)*4.3&lt;=$J$12*IF($E$8=1,1.5,1),-0.5,1),0)</f>
        <v>1.5</v>
      </c>
      <c r="Q49" s="61" t="n">
        <f aca="false">$G$11*IF(AND($E$11&gt;0,A49&gt;=$E$11),IF((A49-$E$11+1)*4.3&lt;=$J$11*IF($E$8=1,1.5,1),-0.5,1),0)+$G$12*IF(AND($E$12&gt;0,A49&gt;=$E$12),IF((A49-$E$12+1)*4.3&lt;=$J$12*IF($E$8=1,1.5,1),-0.5,1),0)</f>
        <v>0</v>
      </c>
      <c r="R49" s="62" t="n">
        <f aca="false">IF(AND($E$11&gt;0,A49=$E$11),$H$11,0)+IF(AND($E$11&gt;0,A49&gt;=$E$11),$I$11,0)+IF(AND($E$12&gt;0,A49=$E$12),$H$12,0)+IF(AND($E$12&gt;0,A49&gt;=$E$12),$I$12,0)</f>
        <v>150</v>
      </c>
      <c r="S49" s="61" t="n">
        <f aca="false">MAX(50,MIN(99.9,$B$31+$B$32*($E$5-10)+Q49-20*MAX(0,O49-1)-5*MAX(0,N49-1.05)))</f>
        <v>94.8</v>
      </c>
      <c r="T49" s="61" t="n">
        <f aca="false">MAX(50,MIN(99.9,$B$33+$B$34*($E$6-10)+0.04*(U48-60)+P49-25*MAX(0,C49-0.85)-8*MAX(0,N49-1)))</f>
        <v>97.2184771447754</v>
      </c>
      <c r="U49" s="61" t="n">
        <f aca="false">MAX(0,MIN(100,U48+0.35*(58+0.6*($E$7-10)-30*MAX(0,N49-1)-20*MAX(0,O49-1)-U48)))</f>
        <v>60.4402536026004</v>
      </c>
      <c r="V49" s="62" t="n">
        <f aca="false">B49*$B$7+E49*$B$8+D49*$B$9</f>
        <v>48628</v>
      </c>
      <c r="W49" s="62" t="n">
        <f aca="false">(J49*$B$10+K49*$B$11+L49*$B$12)*$B$13/12</f>
        <v>21240.8333333333</v>
      </c>
      <c r="X49" s="62" t="n">
        <f aca="false">F49*$B$19*($B$22*$B$21+$B$23+$B$24)+K49*$B$25+MAX(0,K49-$B$27)*$B$26</f>
        <v>11882</v>
      </c>
      <c r="Y49" s="62" t="n">
        <f aca="false">$B$14+$B$15+$B$16</f>
        <v>9000</v>
      </c>
      <c r="Z49" s="62" t="n">
        <f aca="false">IF(AND(AD49=1,AE49&lt;-2),0.05*($F$17*$B$7+2*$G$17*$B$8+$G$17*$B$9),0)+IF(AND(AH49=1,AI49&lt;-2),0.05*($F$18*$B$7+2*$G$18*$B$8+$G$18*$B$9),0)+IF(AND(AL49=1,AM49&lt;-2),0.05*($F$19*$B$7+2*$G$19*$B$8+$G$19*$B$9),0)+IF(AND(AP49=1,AQ49&lt;-2),0.05*($F$20*$B$7+2*$G$20*$B$8+$G$20*$B$9),0)</f>
        <v>0</v>
      </c>
      <c r="AA49" s="63" t="n">
        <f aca="false">V49-W49-X49-Y49-R49-Z49</f>
        <v>6355.16666666667</v>
      </c>
      <c r="AB49" s="63" t="n">
        <f aca="false">AB48+AA49</f>
        <v>177859.9</v>
      </c>
      <c r="AD49" s="10" t="n">
        <f aca="false">IF(AND($E$17&gt;0,A49&gt;=$E$17,AG48=0),1,0)</f>
        <v>1</v>
      </c>
      <c r="AE49" s="61" t="n">
        <f aca="false">IF(AD49=1,MIN(S49-$H$17,IF($I$17="",9,T49-$I$17)),"")</f>
        <v>2.8</v>
      </c>
      <c r="AF49" s="61" t="n">
        <f aca="false">IF(AD49=1,MAX(0,MIN(100,AF48+IF(AE49&gt;=0,3,IF(AE49&gt;=-2,-4,-10)))),AF48)</f>
        <v>93</v>
      </c>
      <c r="AG49" s="64" t="n">
        <f aca="false">IF(OR(AG48=1,AND(AD49=1,AF49&lt;25)),1,0)</f>
        <v>0</v>
      </c>
      <c r="AH49" s="10" t="n">
        <f aca="false">IF(AND($E$18&gt;0,A49&gt;=$E$18,AK48=0),1,0)</f>
        <v>1</v>
      </c>
      <c r="AI49" s="61" t="n">
        <f aca="false">IF(AH49=1,MIN(S49-$H$18,IF($I$18="",9,T49-$I$18)),"")</f>
        <v>1.21847714477542</v>
      </c>
      <c r="AJ49" s="61" t="n">
        <f aca="false">IF(AH49=1,MAX(0,MIN(100,AJ48+IF(AI49&gt;=0,3,IF(AI49&gt;=-2,-4,-10)))),AJ48)</f>
        <v>84</v>
      </c>
      <c r="AK49" s="64" t="n">
        <f aca="false">IF(OR(AK48=1,AND(AH49=1,AJ49&lt;25)),1,0)</f>
        <v>0</v>
      </c>
      <c r="AL49" s="10" t="n">
        <f aca="false">IF(AND($E$19&gt;0,A49&gt;=$E$19,AO48=0),1,0)</f>
        <v>1</v>
      </c>
      <c r="AM49" s="61" t="n">
        <f aca="false">IF(AL49=1,MIN(S49-$H$19,IF($I$19="",9,T49-$I$19)),"")</f>
        <v>0.21847714477542</v>
      </c>
      <c r="AN49" s="61" t="n">
        <f aca="false">IF(AL49=1,MAX(0,MIN(100,AN48+IF(AM49&gt;=0,3,IF(AM49&gt;=-2,-4,-10)))),AN48)</f>
        <v>69</v>
      </c>
      <c r="AO49" s="64" t="n">
        <f aca="false">IF(OR(AO48=1,AND(AL49=1,AN49&lt;25)),1,0)</f>
        <v>0</v>
      </c>
      <c r="AP49" s="10" t="n">
        <f aca="false">IF(AND($E$20&gt;0,A49&gt;=$E$20,AS48=0),1,0)</f>
        <v>0</v>
      </c>
      <c r="AQ49" s="61" t="str">
        <f aca="false">IF(AP49=1,MIN(S49-$H$20,IF($I$20="",9,T49-$I$20)),"")</f>
        <v/>
      </c>
      <c r="AR49" s="61" t="n">
        <f aca="false">IF(AP49=1,MAX(0,MIN(100,AR48+IF(AQ49&gt;=0,3,IF(AQ49&gt;=-2,-4,-10)))),AR48)</f>
        <v>60</v>
      </c>
      <c r="AS49" s="64" t="n">
        <f aca="false">IF(OR(AS48=1,AND(AP49=1,AR49&lt;25)),1,0)</f>
        <v>0</v>
      </c>
    </row>
    <row r="50" customFormat="false" ht="15" hidden="false" customHeight="true" outlineLevel="0" collapsed="false">
      <c r="A50" s="10" t="n">
        <v>12</v>
      </c>
      <c r="B50" s="59" t="n">
        <f aca="false">AD50*$F$17+AH50*$F$18+AL50*$F$19+AP50*$F$20</f>
        <v>1800</v>
      </c>
      <c r="C50" s="60" t="n">
        <f aca="false">B50/$B$6</f>
        <v>0.72</v>
      </c>
      <c r="D50" s="59" t="n">
        <f aca="false">AD50*$G$17+AH50*$G$18+AL50*$G$19+AP50*$G$20</f>
        <v>1030</v>
      </c>
      <c r="E50" s="59" t="n">
        <f aca="false">2*D50</f>
        <v>2060</v>
      </c>
      <c r="F50" s="10" t="n">
        <f aca="false">ROUNDUP(D50/$B$18,0)</f>
        <v>65</v>
      </c>
      <c r="G50" s="10" t="n">
        <f aca="false">MAX($B$29,ROUNDUP(E50/$B$17,0))</f>
        <v>3</v>
      </c>
      <c r="H50" s="10" t="n">
        <f aca="false">MAX(1,ROUNDUP(F50/$B$20,0))</f>
        <v>4</v>
      </c>
      <c r="I50" s="10" t="n">
        <f aca="false">$B$30+INT(D50/$B$28)</f>
        <v>2</v>
      </c>
      <c r="J50" s="10" t="n">
        <f aca="false">IF($B$35=1,G49,G50)</f>
        <v>3</v>
      </c>
      <c r="K50" s="10" t="n">
        <f aca="false">IF($B$35=1,H49,H50)</f>
        <v>4</v>
      </c>
      <c r="L50" s="10" t="n">
        <f aca="false">IF($B$35=1,I49,I50)</f>
        <v>2</v>
      </c>
      <c r="M50" s="61" t="n">
        <f aca="false">$B$17*(0.7+0.3*U49/70)</f>
        <v>863.126692467173</v>
      </c>
      <c r="N50" s="60" t="n">
        <f aca="false">E50/(J50*M50)</f>
        <v>0.795557213859172</v>
      </c>
      <c r="O50" s="60" t="n">
        <f aca="false">F50/(K50*$B$20)</f>
        <v>0.8125</v>
      </c>
      <c r="P50" s="61" t="n">
        <f aca="false">$F$11*IF(AND($E$11&gt;0,A50&gt;=$E$11),IF((A50-$E$11+1)*4.3&lt;=$J$11*IF($E$8=1,1.5,1),-0.5,1),0)+$F$12*IF(AND($E$12&gt;0,A50&gt;=$E$12),IF((A50-$E$12+1)*4.3&lt;=$J$12*IF($E$8=1,1.5,1),-0.5,1),0)</f>
        <v>1.5</v>
      </c>
      <c r="Q50" s="61" t="n">
        <f aca="false">$G$11*IF(AND($E$11&gt;0,A50&gt;=$E$11),IF((A50-$E$11+1)*4.3&lt;=$J$11*IF($E$8=1,1.5,1),-0.5,1),0)+$G$12*IF(AND($E$12&gt;0,A50&gt;=$E$12),IF((A50-$E$12+1)*4.3&lt;=$J$12*IF($E$8=1,1.5,1),-0.5,1),0)</f>
        <v>0</v>
      </c>
      <c r="R50" s="62" t="n">
        <f aca="false">IF(AND($E$11&gt;0,A50=$E$11),$H$11,0)+IF(AND($E$11&gt;0,A50&gt;=$E$11),$I$11,0)+IF(AND($E$12&gt;0,A50=$E$12),$H$12,0)+IF(AND($E$12&gt;0,A50&gt;=$E$12),$I$12,0)</f>
        <v>150</v>
      </c>
      <c r="S50" s="61" t="n">
        <f aca="false">MAX(50,MIN(99.9,$B$31+$B$32*($E$5-10)+Q50-20*MAX(0,O50-1)-5*MAX(0,N50-1.05)))</f>
        <v>94.8</v>
      </c>
      <c r="T50" s="61" t="n">
        <f aca="false">MAX(50,MIN(99.9,$B$33+$B$34*($E$6-10)+0.04*(U49-60)+P50-25*MAX(0,C50-0.85)-8*MAX(0,N50-1)))</f>
        <v>97.217610144104</v>
      </c>
      <c r="U50" s="61" t="n">
        <f aca="false">MAX(0,MIN(100,U49+0.35*(58+0.6*($E$7-10)-30*MAX(0,N50-1)-20*MAX(0,O50-1)-U49)))</f>
        <v>60.4261648416903</v>
      </c>
      <c r="V50" s="62" t="n">
        <f aca="false">B50*$B$7+E50*$B$8+D50*$B$9</f>
        <v>48628</v>
      </c>
      <c r="W50" s="62" t="n">
        <f aca="false">(J50*$B$10+K50*$B$11+L50*$B$12)*$B$13/12</f>
        <v>21240.8333333333</v>
      </c>
      <c r="X50" s="62" t="n">
        <f aca="false">F50*$B$19*($B$22*$B$21+$B$23+$B$24)+K50*$B$25+MAX(0,K50-$B$27)*$B$26</f>
        <v>11882</v>
      </c>
      <c r="Y50" s="62" t="n">
        <f aca="false">$B$14+$B$15+$B$16</f>
        <v>9000</v>
      </c>
      <c r="Z50" s="62" t="n">
        <f aca="false">IF(AND(AD50=1,AE50&lt;-2),0.05*($F$17*$B$7+2*$G$17*$B$8+$G$17*$B$9),0)+IF(AND(AH50=1,AI50&lt;-2),0.05*($F$18*$B$7+2*$G$18*$B$8+$G$18*$B$9),0)+IF(AND(AL50=1,AM50&lt;-2),0.05*($F$19*$B$7+2*$G$19*$B$8+$G$19*$B$9),0)+IF(AND(AP50=1,AQ50&lt;-2),0.05*($F$20*$B$7+2*$G$20*$B$8+$G$20*$B$9),0)</f>
        <v>0</v>
      </c>
      <c r="AA50" s="63" t="n">
        <f aca="false">V50-W50-X50-Y50-R50-Z50</f>
        <v>6355.16666666667</v>
      </c>
      <c r="AB50" s="63" t="n">
        <f aca="false">AB49+AA50</f>
        <v>184215.066666667</v>
      </c>
      <c r="AD50" s="10" t="n">
        <f aca="false">IF(AND($E$17&gt;0,A50&gt;=$E$17,AG49=0),1,0)</f>
        <v>1</v>
      </c>
      <c r="AE50" s="61" t="n">
        <f aca="false">IF(AD50=1,MIN(S50-$H$17,IF($I$17="",9,T50-$I$17)),"")</f>
        <v>2.8</v>
      </c>
      <c r="AF50" s="61" t="n">
        <f aca="false">IF(AD50=1,MAX(0,MIN(100,AF49+IF(AE50&gt;=0,3,IF(AE50&gt;=-2,-4,-10)))),AF49)</f>
        <v>96</v>
      </c>
      <c r="AG50" s="64" t="n">
        <f aca="false">IF(OR(AG49=1,AND(AD50=1,AF50&lt;25)),1,0)</f>
        <v>0</v>
      </c>
      <c r="AH50" s="10" t="n">
        <f aca="false">IF(AND($E$18&gt;0,A50&gt;=$E$18,AK49=0),1,0)</f>
        <v>1</v>
      </c>
      <c r="AI50" s="61" t="n">
        <f aca="false">IF(AH50=1,MIN(S50-$H$18,IF($I$18="",9,T50-$I$18)),"")</f>
        <v>1.21761014410401</v>
      </c>
      <c r="AJ50" s="61" t="n">
        <f aca="false">IF(AH50=1,MAX(0,MIN(100,AJ49+IF(AI50&gt;=0,3,IF(AI50&gt;=-2,-4,-10)))),AJ49)</f>
        <v>87</v>
      </c>
      <c r="AK50" s="64" t="n">
        <f aca="false">IF(OR(AK49=1,AND(AH50=1,AJ50&lt;25)),1,0)</f>
        <v>0</v>
      </c>
      <c r="AL50" s="10" t="n">
        <f aca="false">IF(AND($E$19&gt;0,A50&gt;=$E$19,AO49=0),1,0)</f>
        <v>1</v>
      </c>
      <c r="AM50" s="61" t="n">
        <f aca="false">IF(AL50=1,MIN(S50-$H$19,IF($I$19="",9,T50-$I$19)),"")</f>
        <v>0.217610144104015</v>
      </c>
      <c r="AN50" s="61" t="n">
        <f aca="false">IF(AL50=1,MAX(0,MIN(100,AN49+IF(AM50&gt;=0,3,IF(AM50&gt;=-2,-4,-10)))),AN49)</f>
        <v>72</v>
      </c>
      <c r="AO50" s="64" t="n">
        <f aca="false">IF(OR(AO49=1,AND(AL50=1,AN50&lt;25)),1,0)</f>
        <v>0</v>
      </c>
      <c r="AP50" s="10" t="n">
        <f aca="false">IF(AND($E$20&gt;0,A50&gt;=$E$20,AS49=0),1,0)</f>
        <v>0</v>
      </c>
      <c r="AQ50" s="61" t="str">
        <f aca="false">IF(AP50=1,MIN(S50-$H$20,IF($I$20="",9,T50-$I$20)),"")</f>
        <v/>
      </c>
      <c r="AR50" s="61" t="n">
        <f aca="false">IF(AP50=1,MAX(0,MIN(100,AR49+IF(AQ50&gt;=0,3,IF(AQ50&gt;=-2,-4,-10)))),AR49)</f>
        <v>60</v>
      </c>
      <c r="AS50" s="64" t="n">
        <f aca="false">IF(OR(AS49=1,AND(AP50=1,AR50&lt;25)),1,0)</f>
        <v>0</v>
      </c>
    </row>
    <row r="51" customFormat="false" ht="15" hidden="false" customHeight="true" outlineLevel="0" collapsed="false">
      <c r="A51" s="10" t="n">
        <v>13</v>
      </c>
      <c r="B51" s="59" t="n">
        <f aca="false">AD51*$F$17+AH51*$F$18+AL51*$F$19+AP51*$F$20</f>
        <v>1800</v>
      </c>
      <c r="C51" s="60" t="n">
        <f aca="false">B51/$B$6</f>
        <v>0.72</v>
      </c>
      <c r="D51" s="59" t="n">
        <f aca="false">AD51*$G$17+AH51*$G$18+AL51*$G$19+AP51*$G$20</f>
        <v>1030</v>
      </c>
      <c r="E51" s="59" t="n">
        <f aca="false">2*D51</f>
        <v>2060</v>
      </c>
      <c r="F51" s="10" t="n">
        <f aca="false">ROUNDUP(D51/$B$18,0)</f>
        <v>65</v>
      </c>
      <c r="G51" s="10" t="n">
        <f aca="false">MAX($B$29,ROUNDUP(E51/$B$17,0))</f>
        <v>3</v>
      </c>
      <c r="H51" s="10" t="n">
        <f aca="false">MAX(1,ROUNDUP(F51/$B$20,0))</f>
        <v>4</v>
      </c>
      <c r="I51" s="10" t="n">
        <f aca="false">$B$30+INT(D51/$B$28)</f>
        <v>2</v>
      </c>
      <c r="J51" s="10" t="n">
        <f aca="false">IF($B$35=1,G50,G51)</f>
        <v>3</v>
      </c>
      <c r="K51" s="10" t="n">
        <f aca="false">IF($B$35=1,H50,H51)</f>
        <v>4</v>
      </c>
      <c r="L51" s="10" t="n">
        <f aca="false">IF($B$35=1,I50,I51)</f>
        <v>2</v>
      </c>
      <c r="M51" s="61" t="n">
        <f aca="false">$B$17*(0.7+0.3*U50/70)</f>
        <v>863.072350103662</v>
      </c>
      <c r="N51" s="60" t="n">
        <f aca="false">E51/(J51*M51)</f>
        <v>0.79560730520934</v>
      </c>
      <c r="O51" s="60" t="n">
        <f aca="false">F51/(K51*$B$20)</f>
        <v>0.8125</v>
      </c>
      <c r="P51" s="61" t="n">
        <f aca="false">$F$11*IF(AND($E$11&gt;0,A51&gt;=$E$11),IF((A51-$E$11+1)*4.3&lt;=$J$11*IF($E$8=1,1.5,1),-0.5,1),0)+$F$12*IF(AND($E$12&gt;0,A51&gt;=$E$12),IF((A51-$E$12+1)*4.3&lt;=$J$12*IF($E$8=1,1.5,1),-0.5,1),0)</f>
        <v>1.5</v>
      </c>
      <c r="Q51" s="61" t="n">
        <f aca="false">$G$11*IF(AND($E$11&gt;0,A51&gt;=$E$11),IF((A51-$E$11+1)*4.3&lt;=$J$11*IF($E$8=1,1.5,1),-0.5,1),0)+$G$12*IF(AND($E$12&gt;0,A51&gt;=$E$12),IF((A51-$E$12+1)*4.3&lt;=$J$12*IF($E$8=1,1.5,1),-0.5,1),0)</f>
        <v>0</v>
      </c>
      <c r="R51" s="62" t="n">
        <f aca="false">IF(AND($E$11&gt;0,A51=$E$11),$H$11,0)+IF(AND($E$11&gt;0,A51&gt;=$E$11),$I$11,0)+IF(AND($E$12&gt;0,A51=$E$12),$H$12,0)+IF(AND($E$12&gt;0,A51&gt;=$E$12),$I$12,0)</f>
        <v>150</v>
      </c>
      <c r="S51" s="61" t="n">
        <f aca="false">MAX(50,MIN(99.9,$B$31+$B$32*($E$5-10)+Q51-20*MAX(0,O51-1)-5*MAX(0,N51-1.05)))</f>
        <v>94.8</v>
      </c>
      <c r="T51" s="61" t="n">
        <f aca="false">MAX(50,MIN(99.9,$B$33+$B$34*($E$6-10)+0.04*(U50-60)+P51-25*MAX(0,C51-0.85)-8*MAX(0,N51-1)))</f>
        <v>97.2170465936676</v>
      </c>
      <c r="U51" s="61" t="n">
        <f aca="false">MAX(0,MIN(100,U50+0.35*(58+0.6*($E$7-10)-30*MAX(0,N51-1)-20*MAX(0,O51-1)-U50)))</f>
        <v>60.4170071470987</v>
      </c>
      <c r="V51" s="62" t="n">
        <f aca="false">B51*$B$7+E51*$B$8+D51*$B$9</f>
        <v>48628</v>
      </c>
      <c r="W51" s="62" t="n">
        <f aca="false">(J51*$B$10+K51*$B$11+L51*$B$12)*$B$13/12</f>
        <v>21240.8333333333</v>
      </c>
      <c r="X51" s="62" t="n">
        <f aca="false">F51*$B$19*($B$22*$B$21+$B$23+$B$24)+K51*$B$25+MAX(0,K51-$B$27)*$B$26</f>
        <v>11882</v>
      </c>
      <c r="Y51" s="62" t="n">
        <f aca="false">$B$14+$B$15+$B$16</f>
        <v>9000</v>
      </c>
      <c r="Z51" s="62" t="n">
        <f aca="false">IF(AND(AD51=1,AE51&lt;-2),0.05*($F$17*$B$7+2*$G$17*$B$8+$G$17*$B$9),0)+IF(AND(AH51=1,AI51&lt;-2),0.05*($F$18*$B$7+2*$G$18*$B$8+$G$18*$B$9),0)+IF(AND(AL51=1,AM51&lt;-2),0.05*($F$19*$B$7+2*$G$19*$B$8+$G$19*$B$9),0)+IF(AND(AP51=1,AQ51&lt;-2),0.05*($F$20*$B$7+2*$G$20*$B$8+$G$20*$B$9),0)</f>
        <v>0</v>
      </c>
      <c r="AA51" s="63" t="n">
        <f aca="false">V51-W51-X51-Y51-R51-Z51</f>
        <v>6355.16666666667</v>
      </c>
      <c r="AB51" s="63" t="n">
        <f aca="false">AB50+AA51</f>
        <v>190570.233333333</v>
      </c>
      <c r="AD51" s="10" t="n">
        <f aca="false">IF(AND($E$17&gt;0,A51&gt;=$E$17,AG50=0),1,0)</f>
        <v>1</v>
      </c>
      <c r="AE51" s="61" t="n">
        <f aca="false">IF(AD51=1,MIN(S51-$H$17,IF($I$17="",9,T51-$I$17)),"")</f>
        <v>2.8</v>
      </c>
      <c r="AF51" s="61" t="n">
        <f aca="false">IF(AD51=1,MAX(0,MIN(100,AF50+IF(AE51&gt;=0,3,IF(AE51&gt;=-2,-4,-10)))),AF50)</f>
        <v>99</v>
      </c>
      <c r="AG51" s="64" t="n">
        <f aca="false">IF(OR(AG50=1,AND(AD51=1,AF51&lt;25)),1,0)</f>
        <v>0</v>
      </c>
      <c r="AH51" s="10" t="n">
        <f aca="false">IF(AND($E$18&gt;0,A51&gt;=$E$18,AK50=0),1,0)</f>
        <v>1</v>
      </c>
      <c r="AI51" s="61" t="n">
        <f aca="false">IF(AH51=1,MIN(S51-$H$18,IF($I$18="",9,T51-$I$18)),"")</f>
        <v>1.21704659366762</v>
      </c>
      <c r="AJ51" s="61" t="n">
        <f aca="false">IF(AH51=1,MAX(0,MIN(100,AJ50+IF(AI51&gt;=0,3,IF(AI51&gt;=-2,-4,-10)))),AJ50)</f>
        <v>90</v>
      </c>
      <c r="AK51" s="64" t="n">
        <f aca="false">IF(OR(AK50=1,AND(AH51=1,AJ51&lt;25)),1,0)</f>
        <v>0</v>
      </c>
      <c r="AL51" s="10" t="n">
        <f aca="false">IF(AND($E$19&gt;0,A51&gt;=$E$19,AO50=0),1,0)</f>
        <v>1</v>
      </c>
      <c r="AM51" s="61" t="n">
        <f aca="false">IF(AL51=1,MIN(S51-$H$19,IF($I$19="",9,T51-$I$19)),"")</f>
        <v>0.217046593667618</v>
      </c>
      <c r="AN51" s="61" t="n">
        <f aca="false">IF(AL51=1,MAX(0,MIN(100,AN50+IF(AM51&gt;=0,3,IF(AM51&gt;=-2,-4,-10)))),AN50)</f>
        <v>75</v>
      </c>
      <c r="AO51" s="64" t="n">
        <f aca="false">IF(OR(AO50=1,AND(AL51=1,AN51&lt;25)),1,0)</f>
        <v>0</v>
      </c>
      <c r="AP51" s="10" t="n">
        <f aca="false">IF(AND($E$20&gt;0,A51&gt;=$E$20,AS50=0),1,0)</f>
        <v>0</v>
      </c>
      <c r="AQ51" s="61" t="str">
        <f aca="false">IF(AP51=1,MIN(S51-$H$20,IF($I$20="",9,T51-$I$20)),"")</f>
        <v/>
      </c>
      <c r="AR51" s="61" t="n">
        <f aca="false">IF(AP51=1,MAX(0,MIN(100,AR50+IF(AQ51&gt;=0,3,IF(AQ51&gt;=-2,-4,-10)))),AR50)</f>
        <v>60</v>
      </c>
      <c r="AS51" s="64" t="n">
        <f aca="false">IF(OR(AS50=1,AND(AP51=1,AR51&lt;25)),1,0)</f>
        <v>0</v>
      </c>
    </row>
    <row r="52" customFormat="false" ht="15" hidden="false" customHeight="true" outlineLevel="0" collapsed="false">
      <c r="A52" s="10" t="n">
        <v>14</v>
      </c>
      <c r="B52" s="59" t="n">
        <f aca="false">AD52*$F$17+AH52*$F$18+AL52*$F$19+AP52*$F$20</f>
        <v>1800</v>
      </c>
      <c r="C52" s="60" t="n">
        <f aca="false">B52/$B$6</f>
        <v>0.72</v>
      </c>
      <c r="D52" s="59" t="n">
        <f aca="false">AD52*$G$17+AH52*$G$18+AL52*$G$19+AP52*$G$20</f>
        <v>1030</v>
      </c>
      <c r="E52" s="59" t="n">
        <f aca="false">2*D52</f>
        <v>2060</v>
      </c>
      <c r="F52" s="10" t="n">
        <f aca="false">ROUNDUP(D52/$B$18,0)</f>
        <v>65</v>
      </c>
      <c r="G52" s="10" t="n">
        <f aca="false">MAX($B$29,ROUNDUP(E52/$B$17,0))</f>
        <v>3</v>
      </c>
      <c r="H52" s="10" t="n">
        <f aca="false">MAX(1,ROUNDUP(F52/$B$20,0))</f>
        <v>4</v>
      </c>
      <c r="I52" s="10" t="n">
        <f aca="false">$B$30+INT(D52/$B$28)</f>
        <v>2</v>
      </c>
      <c r="J52" s="10" t="n">
        <f aca="false">IF($B$35=1,G51,G52)</f>
        <v>3</v>
      </c>
      <c r="K52" s="10" t="n">
        <f aca="false">IF($B$35=1,H51,H52)</f>
        <v>4</v>
      </c>
      <c r="L52" s="10" t="n">
        <f aca="false">IF($B$35=1,I51,I52)</f>
        <v>2</v>
      </c>
      <c r="M52" s="61" t="n">
        <f aca="false">$B$17*(0.7+0.3*U51/70)</f>
        <v>863.037027567381</v>
      </c>
      <c r="N52" s="60" t="n">
        <f aca="false">E52/(J52*M52)</f>
        <v>0.795639867969693</v>
      </c>
      <c r="O52" s="60" t="n">
        <f aca="false">F52/(K52*$B$20)</f>
        <v>0.8125</v>
      </c>
      <c r="P52" s="61" t="n">
        <f aca="false">$F$11*IF(AND($E$11&gt;0,A52&gt;=$E$11),IF((A52-$E$11+1)*4.3&lt;=$J$11*IF($E$8=1,1.5,1),-0.5,1),0)+$F$12*IF(AND($E$12&gt;0,A52&gt;=$E$12),IF((A52-$E$12+1)*4.3&lt;=$J$12*IF($E$8=1,1.5,1),-0.5,1),0)</f>
        <v>1.5</v>
      </c>
      <c r="Q52" s="61" t="n">
        <f aca="false">$G$11*IF(AND($E$11&gt;0,A52&gt;=$E$11),IF((A52-$E$11+1)*4.3&lt;=$J$11*IF($E$8=1,1.5,1),-0.5,1),0)+$G$12*IF(AND($E$12&gt;0,A52&gt;=$E$12),IF((A52-$E$12+1)*4.3&lt;=$J$12*IF($E$8=1,1.5,1),-0.5,1),0)</f>
        <v>0</v>
      </c>
      <c r="R52" s="62" t="n">
        <f aca="false">IF(AND($E$11&gt;0,A52=$E$11),$H$11,0)+IF(AND($E$11&gt;0,A52&gt;=$E$11),$I$11,0)+IF(AND($E$12&gt;0,A52=$E$12),$H$12,0)+IF(AND($E$12&gt;0,A52&gt;=$E$12),$I$12,0)</f>
        <v>150</v>
      </c>
      <c r="S52" s="61" t="n">
        <f aca="false">MAX(50,MIN(99.9,$B$31+$B$32*($E$5-10)+Q52-20*MAX(0,O52-1)-5*MAX(0,N52-1.05)))</f>
        <v>94.8</v>
      </c>
      <c r="T52" s="61" t="n">
        <f aca="false">MAX(50,MIN(99.9,$B$33+$B$34*($E$6-10)+0.04*(U51-60)+P52-25*MAX(0,C52-0.85)-8*MAX(0,N52-1)))</f>
        <v>97.216680285884</v>
      </c>
      <c r="U52" s="61" t="n">
        <f aca="false">MAX(0,MIN(100,U51+0.35*(58+0.6*($E$7-10)-30*MAX(0,N52-1)-20*MAX(0,O52-1)-U51)))</f>
        <v>60.4110546456141</v>
      </c>
      <c r="V52" s="62" t="n">
        <f aca="false">B52*$B$7+E52*$B$8+D52*$B$9</f>
        <v>48628</v>
      </c>
      <c r="W52" s="62" t="n">
        <f aca="false">(J52*$B$10+K52*$B$11+L52*$B$12)*$B$13/12</f>
        <v>21240.8333333333</v>
      </c>
      <c r="X52" s="62" t="n">
        <f aca="false">F52*$B$19*($B$22*$B$21+$B$23+$B$24)+K52*$B$25+MAX(0,K52-$B$27)*$B$26</f>
        <v>11882</v>
      </c>
      <c r="Y52" s="62" t="n">
        <f aca="false">$B$14+$B$15+$B$16</f>
        <v>9000</v>
      </c>
      <c r="Z52" s="62" t="n">
        <f aca="false">IF(AND(AD52=1,AE52&lt;-2),0.05*($F$17*$B$7+2*$G$17*$B$8+$G$17*$B$9),0)+IF(AND(AH52=1,AI52&lt;-2),0.05*($F$18*$B$7+2*$G$18*$B$8+$G$18*$B$9),0)+IF(AND(AL52=1,AM52&lt;-2),0.05*($F$19*$B$7+2*$G$19*$B$8+$G$19*$B$9),0)+IF(AND(AP52=1,AQ52&lt;-2),0.05*($F$20*$B$7+2*$G$20*$B$8+$G$20*$B$9),0)</f>
        <v>0</v>
      </c>
      <c r="AA52" s="63" t="n">
        <f aca="false">V52-W52-X52-Y52-R52-Z52</f>
        <v>6355.16666666667</v>
      </c>
      <c r="AB52" s="63" t="n">
        <f aca="false">AB51+AA52</f>
        <v>196925.4</v>
      </c>
      <c r="AD52" s="10" t="n">
        <f aca="false">IF(AND($E$17&gt;0,A52&gt;=$E$17,AG51=0),1,0)</f>
        <v>1</v>
      </c>
      <c r="AE52" s="61" t="n">
        <f aca="false">IF(AD52=1,MIN(S52-$H$17,IF($I$17="",9,T52-$I$17)),"")</f>
        <v>2.8</v>
      </c>
      <c r="AF52" s="61" t="n">
        <f aca="false">IF(AD52=1,MAX(0,MIN(100,AF51+IF(AE52&gt;=0,3,IF(AE52&gt;=-2,-4,-10)))),AF51)</f>
        <v>100</v>
      </c>
      <c r="AG52" s="64" t="n">
        <f aca="false">IF(OR(AG51=1,AND(AD52=1,AF52&lt;25)),1,0)</f>
        <v>0</v>
      </c>
      <c r="AH52" s="10" t="n">
        <f aca="false">IF(AND($E$18&gt;0,A52&gt;=$E$18,AK51=0),1,0)</f>
        <v>1</v>
      </c>
      <c r="AI52" s="61" t="n">
        <f aca="false">IF(AH52=1,MIN(S52-$H$18,IF($I$18="",9,T52-$I$18)),"")</f>
        <v>1.21668028588395</v>
      </c>
      <c r="AJ52" s="61" t="n">
        <f aca="false">IF(AH52=1,MAX(0,MIN(100,AJ51+IF(AI52&gt;=0,3,IF(AI52&gt;=-2,-4,-10)))),AJ51)</f>
        <v>93</v>
      </c>
      <c r="AK52" s="64" t="n">
        <f aca="false">IF(OR(AK51=1,AND(AH52=1,AJ52&lt;25)),1,0)</f>
        <v>0</v>
      </c>
      <c r="AL52" s="10" t="n">
        <f aca="false">IF(AND($E$19&gt;0,A52&gt;=$E$19,AO51=0),1,0)</f>
        <v>1</v>
      </c>
      <c r="AM52" s="61" t="n">
        <f aca="false">IF(AL52=1,MIN(S52-$H$19,IF($I$19="",9,T52-$I$19)),"")</f>
        <v>0.216680285883953</v>
      </c>
      <c r="AN52" s="61" t="n">
        <f aca="false">IF(AL52=1,MAX(0,MIN(100,AN51+IF(AM52&gt;=0,3,IF(AM52&gt;=-2,-4,-10)))),AN51)</f>
        <v>78</v>
      </c>
      <c r="AO52" s="64" t="n">
        <f aca="false">IF(OR(AO51=1,AND(AL52=1,AN52&lt;25)),1,0)</f>
        <v>0</v>
      </c>
      <c r="AP52" s="10" t="n">
        <f aca="false">IF(AND($E$20&gt;0,A52&gt;=$E$20,AS51=0),1,0)</f>
        <v>0</v>
      </c>
      <c r="AQ52" s="61" t="str">
        <f aca="false">IF(AP52=1,MIN(S52-$H$20,IF($I$20="",9,T52-$I$20)),"")</f>
        <v/>
      </c>
      <c r="AR52" s="61" t="n">
        <f aca="false">IF(AP52=1,MAX(0,MIN(100,AR51+IF(AQ52&gt;=0,3,IF(AQ52&gt;=-2,-4,-10)))),AR51)</f>
        <v>60</v>
      </c>
      <c r="AS52" s="64" t="n">
        <f aca="false">IF(OR(AS51=1,AND(AP52=1,AR52&lt;25)),1,0)</f>
        <v>0</v>
      </c>
    </row>
    <row r="53" customFormat="false" ht="15" hidden="false" customHeight="true" outlineLevel="0" collapsed="false">
      <c r="A53" s="10" t="n">
        <v>15</v>
      </c>
      <c r="B53" s="59" t="n">
        <f aca="false">AD53*$F$17+AH53*$F$18+AL53*$F$19+AP53*$F$20</f>
        <v>1800</v>
      </c>
      <c r="C53" s="60" t="n">
        <f aca="false">B53/$B$6</f>
        <v>0.72</v>
      </c>
      <c r="D53" s="59" t="n">
        <f aca="false">AD53*$G$17+AH53*$G$18+AL53*$G$19+AP53*$G$20</f>
        <v>1030</v>
      </c>
      <c r="E53" s="59" t="n">
        <f aca="false">2*D53</f>
        <v>2060</v>
      </c>
      <c r="F53" s="10" t="n">
        <f aca="false">ROUNDUP(D53/$B$18,0)</f>
        <v>65</v>
      </c>
      <c r="G53" s="10" t="n">
        <f aca="false">MAX($B$29,ROUNDUP(E53/$B$17,0))</f>
        <v>3</v>
      </c>
      <c r="H53" s="10" t="n">
        <f aca="false">MAX(1,ROUNDUP(F53/$B$20,0))</f>
        <v>4</v>
      </c>
      <c r="I53" s="10" t="n">
        <f aca="false">$B$30+INT(D53/$B$28)</f>
        <v>2</v>
      </c>
      <c r="J53" s="10" t="n">
        <f aca="false">IF($B$35=1,G52,G53)</f>
        <v>3</v>
      </c>
      <c r="K53" s="10" t="n">
        <f aca="false">IF($B$35=1,H52,H53)</f>
        <v>4</v>
      </c>
      <c r="L53" s="10" t="n">
        <f aca="false">IF($B$35=1,I52,I53)</f>
        <v>2</v>
      </c>
      <c r="M53" s="61" t="n">
        <f aca="false">$B$17*(0.7+0.3*U52/70)</f>
        <v>863.014067918797</v>
      </c>
      <c r="N53" s="60" t="n">
        <f aca="false">E53/(J53*M53)</f>
        <v>0.795661035193318</v>
      </c>
      <c r="O53" s="60" t="n">
        <f aca="false">F53/(K53*$B$20)</f>
        <v>0.8125</v>
      </c>
      <c r="P53" s="61" t="n">
        <f aca="false">$F$11*IF(AND($E$11&gt;0,A53&gt;=$E$11),IF((A53-$E$11+1)*4.3&lt;=$J$11*IF($E$8=1,1.5,1),-0.5,1),0)+$F$12*IF(AND($E$12&gt;0,A53&gt;=$E$12),IF((A53-$E$12+1)*4.3&lt;=$J$12*IF($E$8=1,1.5,1),-0.5,1),0)</f>
        <v>1.5</v>
      </c>
      <c r="Q53" s="61" t="n">
        <f aca="false">$G$11*IF(AND($E$11&gt;0,A53&gt;=$E$11),IF((A53-$E$11+1)*4.3&lt;=$J$11*IF($E$8=1,1.5,1),-0.5,1),0)+$G$12*IF(AND($E$12&gt;0,A53&gt;=$E$12),IF((A53-$E$12+1)*4.3&lt;=$J$12*IF($E$8=1,1.5,1),-0.5,1),0)</f>
        <v>0</v>
      </c>
      <c r="R53" s="62" t="n">
        <f aca="false">IF(AND($E$11&gt;0,A53=$E$11),$H$11,0)+IF(AND($E$11&gt;0,A53&gt;=$E$11),$I$11,0)+IF(AND($E$12&gt;0,A53=$E$12),$H$12,0)+IF(AND($E$12&gt;0,A53&gt;=$E$12),$I$12,0)</f>
        <v>150</v>
      </c>
      <c r="S53" s="61" t="n">
        <f aca="false">MAX(50,MIN(99.9,$B$31+$B$32*($E$5-10)+Q53-20*MAX(0,O53-1)-5*MAX(0,N53-1.05)))</f>
        <v>94.8</v>
      </c>
      <c r="T53" s="61" t="n">
        <f aca="false">MAX(50,MIN(99.9,$B$33+$B$34*($E$6-10)+0.04*(U52-60)+P53-25*MAX(0,C53-0.85)-8*MAX(0,N53-1)))</f>
        <v>97.2164421858246</v>
      </c>
      <c r="U53" s="61" t="n">
        <f aca="false">MAX(0,MIN(100,U52+0.35*(58+0.6*($E$7-10)-30*MAX(0,N53-1)-20*MAX(0,O53-1)-U52)))</f>
        <v>60.4071855196492</v>
      </c>
      <c r="V53" s="62" t="n">
        <f aca="false">B53*$B$7+E53*$B$8+D53*$B$9</f>
        <v>48628</v>
      </c>
      <c r="W53" s="62" t="n">
        <f aca="false">(J53*$B$10+K53*$B$11+L53*$B$12)*$B$13/12</f>
        <v>21240.8333333333</v>
      </c>
      <c r="X53" s="62" t="n">
        <f aca="false">F53*$B$19*($B$22*$B$21+$B$23+$B$24)+K53*$B$25+MAX(0,K53-$B$27)*$B$26</f>
        <v>11882</v>
      </c>
      <c r="Y53" s="62" t="n">
        <f aca="false">$B$14+$B$15+$B$16</f>
        <v>9000</v>
      </c>
      <c r="Z53" s="62" t="n">
        <f aca="false">IF(AND(AD53=1,AE53&lt;-2),0.05*($F$17*$B$7+2*$G$17*$B$8+$G$17*$B$9),0)+IF(AND(AH53=1,AI53&lt;-2),0.05*($F$18*$B$7+2*$G$18*$B$8+$G$18*$B$9),0)+IF(AND(AL53=1,AM53&lt;-2),0.05*($F$19*$B$7+2*$G$19*$B$8+$G$19*$B$9),0)+IF(AND(AP53=1,AQ53&lt;-2),0.05*($F$20*$B$7+2*$G$20*$B$8+$G$20*$B$9),0)</f>
        <v>0</v>
      </c>
      <c r="AA53" s="63" t="n">
        <f aca="false">V53-W53-X53-Y53-R53-Z53</f>
        <v>6355.16666666667</v>
      </c>
      <c r="AB53" s="63" t="n">
        <f aca="false">AB52+AA53</f>
        <v>203280.566666667</v>
      </c>
      <c r="AD53" s="10" t="n">
        <f aca="false">IF(AND($E$17&gt;0,A53&gt;=$E$17,AG52=0),1,0)</f>
        <v>1</v>
      </c>
      <c r="AE53" s="61" t="n">
        <f aca="false">IF(AD53=1,MIN(S53-$H$17,IF($I$17="",9,T53-$I$17)),"")</f>
        <v>2.8</v>
      </c>
      <c r="AF53" s="61" t="n">
        <f aca="false">IF(AD53=1,MAX(0,MIN(100,AF52+IF(AE53&gt;=0,3,IF(AE53&gt;=-2,-4,-10)))),AF52)</f>
        <v>100</v>
      </c>
      <c r="AG53" s="64" t="n">
        <f aca="false">IF(OR(AG52=1,AND(AD53=1,AF53&lt;25)),1,0)</f>
        <v>0</v>
      </c>
      <c r="AH53" s="10" t="n">
        <f aca="false">IF(AND($E$18&gt;0,A53&gt;=$E$18,AK52=0),1,0)</f>
        <v>1</v>
      </c>
      <c r="AI53" s="61" t="n">
        <f aca="false">IF(AH53=1,MIN(S53-$H$18,IF($I$18="",9,T53-$I$18)),"")</f>
        <v>1.21644218582456</v>
      </c>
      <c r="AJ53" s="61" t="n">
        <f aca="false">IF(AH53=1,MAX(0,MIN(100,AJ52+IF(AI53&gt;=0,3,IF(AI53&gt;=-2,-4,-10)))),AJ52)</f>
        <v>96</v>
      </c>
      <c r="AK53" s="64" t="n">
        <f aca="false">IF(OR(AK52=1,AND(AH53=1,AJ53&lt;25)),1,0)</f>
        <v>0</v>
      </c>
      <c r="AL53" s="10" t="n">
        <f aca="false">IF(AND($E$19&gt;0,A53&gt;=$E$19,AO52=0),1,0)</f>
        <v>1</v>
      </c>
      <c r="AM53" s="61" t="n">
        <f aca="false">IF(AL53=1,MIN(S53-$H$19,IF($I$19="",9,T53-$I$19)),"")</f>
        <v>0.216442185824562</v>
      </c>
      <c r="AN53" s="61" t="n">
        <f aca="false">IF(AL53=1,MAX(0,MIN(100,AN52+IF(AM53&gt;=0,3,IF(AM53&gt;=-2,-4,-10)))),AN52)</f>
        <v>81</v>
      </c>
      <c r="AO53" s="64" t="n">
        <f aca="false">IF(OR(AO52=1,AND(AL53=1,AN53&lt;25)),1,0)</f>
        <v>0</v>
      </c>
      <c r="AP53" s="10" t="n">
        <f aca="false">IF(AND($E$20&gt;0,A53&gt;=$E$20,AS52=0),1,0)</f>
        <v>0</v>
      </c>
      <c r="AQ53" s="61" t="str">
        <f aca="false">IF(AP53=1,MIN(S53-$H$20,IF($I$20="",9,T53-$I$20)),"")</f>
        <v/>
      </c>
      <c r="AR53" s="61" t="n">
        <f aca="false">IF(AP53=1,MAX(0,MIN(100,AR52+IF(AQ53&gt;=0,3,IF(AQ53&gt;=-2,-4,-10)))),AR52)</f>
        <v>60</v>
      </c>
      <c r="AS53" s="64" t="n">
        <f aca="false">IF(OR(AS52=1,AND(AP53=1,AR53&lt;25)),1,0)</f>
        <v>0</v>
      </c>
    </row>
    <row r="54" customFormat="false" ht="15" hidden="false" customHeight="true" outlineLevel="0" collapsed="false">
      <c r="A54" s="10" t="n">
        <v>16</v>
      </c>
      <c r="B54" s="59" t="n">
        <f aca="false">AD54*$F$17+AH54*$F$18+AL54*$F$19+AP54*$F$20</f>
        <v>1800</v>
      </c>
      <c r="C54" s="60" t="n">
        <f aca="false">B54/$B$6</f>
        <v>0.72</v>
      </c>
      <c r="D54" s="59" t="n">
        <f aca="false">AD54*$G$17+AH54*$G$18+AL54*$G$19+AP54*$G$20</f>
        <v>1030</v>
      </c>
      <c r="E54" s="59" t="n">
        <f aca="false">2*D54</f>
        <v>2060</v>
      </c>
      <c r="F54" s="10" t="n">
        <f aca="false">ROUNDUP(D54/$B$18,0)</f>
        <v>65</v>
      </c>
      <c r="G54" s="10" t="n">
        <f aca="false">MAX($B$29,ROUNDUP(E54/$B$17,0))</f>
        <v>3</v>
      </c>
      <c r="H54" s="10" t="n">
        <f aca="false">MAX(1,ROUNDUP(F54/$B$20,0))</f>
        <v>4</v>
      </c>
      <c r="I54" s="10" t="n">
        <f aca="false">$B$30+INT(D54/$B$28)</f>
        <v>2</v>
      </c>
      <c r="J54" s="10" t="n">
        <f aca="false">IF($B$35=1,G53,G54)</f>
        <v>3</v>
      </c>
      <c r="K54" s="10" t="n">
        <f aca="false">IF($B$35=1,H53,H54)</f>
        <v>4</v>
      </c>
      <c r="L54" s="10" t="n">
        <f aca="false">IF($B$35=1,I53,I54)</f>
        <v>2</v>
      </c>
      <c r="M54" s="61" t="n">
        <f aca="false">$B$17*(0.7+0.3*U53/70)</f>
        <v>862.999144147218</v>
      </c>
      <c r="N54" s="60" t="n">
        <f aca="false">E54/(J54*M54)</f>
        <v>0.795674794492645</v>
      </c>
      <c r="O54" s="60" t="n">
        <f aca="false">F54/(K54*$B$20)</f>
        <v>0.8125</v>
      </c>
      <c r="P54" s="61" t="n">
        <f aca="false">$F$11*IF(AND($E$11&gt;0,A54&gt;=$E$11),IF((A54-$E$11+1)*4.3&lt;=$J$11*IF($E$8=1,1.5,1),-0.5,1),0)+$F$12*IF(AND($E$12&gt;0,A54&gt;=$E$12),IF((A54-$E$12+1)*4.3&lt;=$J$12*IF($E$8=1,1.5,1),-0.5,1),0)</f>
        <v>1.5</v>
      </c>
      <c r="Q54" s="61" t="n">
        <f aca="false">$G$11*IF(AND($E$11&gt;0,A54&gt;=$E$11),IF((A54-$E$11+1)*4.3&lt;=$J$11*IF($E$8=1,1.5,1),-0.5,1),0)+$G$12*IF(AND($E$12&gt;0,A54&gt;=$E$12),IF((A54-$E$12+1)*4.3&lt;=$J$12*IF($E$8=1,1.5,1),-0.5,1),0)</f>
        <v>0</v>
      </c>
      <c r="R54" s="62" t="n">
        <f aca="false">IF(AND($E$11&gt;0,A54=$E$11),$H$11,0)+IF(AND($E$11&gt;0,A54&gt;=$E$11),$I$11,0)+IF(AND($E$12&gt;0,A54=$E$12),$H$12,0)+IF(AND($E$12&gt;0,A54&gt;=$E$12),$I$12,0)</f>
        <v>150</v>
      </c>
      <c r="S54" s="61" t="n">
        <f aca="false">MAX(50,MIN(99.9,$B$31+$B$32*($E$5-10)+Q54-20*MAX(0,O54-1)-5*MAX(0,N54-1.05)))</f>
        <v>94.8</v>
      </c>
      <c r="T54" s="61" t="n">
        <f aca="false">MAX(50,MIN(99.9,$B$33+$B$34*($E$6-10)+0.04*(U53-60)+P54-25*MAX(0,C54-0.85)-8*MAX(0,N54-1)))</f>
        <v>97.216287420786</v>
      </c>
      <c r="U54" s="61" t="n">
        <f aca="false">MAX(0,MIN(100,U53+0.35*(58+0.6*($E$7-10)-30*MAX(0,N54-1)-20*MAX(0,O54-1)-U53)))</f>
        <v>60.404670587772</v>
      </c>
      <c r="V54" s="62" t="n">
        <f aca="false">B54*$B$7+E54*$B$8+D54*$B$9</f>
        <v>48628</v>
      </c>
      <c r="W54" s="62" t="n">
        <f aca="false">(J54*$B$10+K54*$B$11+L54*$B$12)*$B$13/12</f>
        <v>21240.8333333333</v>
      </c>
      <c r="X54" s="62" t="n">
        <f aca="false">F54*$B$19*($B$22*$B$21+$B$23+$B$24)+K54*$B$25+MAX(0,K54-$B$27)*$B$26</f>
        <v>11882</v>
      </c>
      <c r="Y54" s="62" t="n">
        <f aca="false">$B$14+$B$15+$B$16</f>
        <v>9000</v>
      </c>
      <c r="Z54" s="62" t="n">
        <f aca="false">IF(AND(AD54=1,AE54&lt;-2),0.05*($F$17*$B$7+2*$G$17*$B$8+$G$17*$B$9),0)+IF(AND(AH54=1,AI54&lt;-2),0.05*($F$18*$B$7+2*$G$18*$B$8+$G$18*$B$9),0)+IF(AND(AL54=1,AM54&lt;-2),0.05*($F$19*$B$7+2*$G$19*$B$8+$G$19*$B$9),0)+IF(AND(AP54=1,AQ54&lt;-2),0.05*($F$20*$B$7+2*$G$20*$B$8+$G$20*$B$9),0)</f>
        <v>0</v>
      </c>
      <c r="AA54" s="63" t="n">
        <f aca="false">V54-W54-X54-Y54-R54-Z54</f>
        <v>6355.16666666667</v>
      </c>
      <c r="AB54" s="63" t="n">
        <f aca="false">AB53+AA54</f>
        <v>209635.733333333</v>
      </c>
      <c r="AD54" s="10" t="n">
        <f aca="false">IF(AND($E$17&gt;0,A54&gt;=$E$17,AG53=0),1,0)</f>
        <v>1</v>
      </c>
      <c r="AE54" s="61" t="n">
        <f aca="false">IF(AD54=1,MIN(S54-$H$17,IF($I$17="",9,T54-$I$17)),"")</f>
        <v>2.8</v>
      </c>
      <c r="AF54" s="61" t="n">
        <f aca="false">IF(AD54=1,MAX(0,MIN(100,AF53+IF(AE54&gt;=0,3,IF(AE54&gt;=-2,-4,-10)))),AF53)</f>
        <v>100</v>
      </c>
      <c r="AG54" s="64" t="n">
        <f aca="false">IF(OR(AG53=1,AND(AD54=1,AF54&lt;25)),1,0)</f>
        <v>0</v>
      </c>
      <c r="AH54" s="10" t="n">
        <f aca="false">IF(AND($E$18&gt;0,A54&gt;=$E$18,AK53=0),1,0)</f>
        <v>1</v>
      </c>
      <c r="AI54" s="61" t="n">
        <f aca="false">IF(AH54=1,MIN(S54-$H$18,IF($I$18="",9,T54-$I$18)),"")</f>
        <v>1.21628742078597</v>
      </c>
      <c r="AJ54" s="61" t="n">
        <f aca="false">IF(AH54=1,MAX(0,MIN(100,AJ53+IF(AI54&gt;=0,3,IF(AI54&gt;=-2,-4,-10)))),AJ53)</f>
        <v>99</v>
      </c>
      <c r="AK54" s="64" t="n">
        <f aca="false">IF(OR(AK53=1,AND(AH54=1,AJ54&lt;25)),1,0)</f>
        <v>0</v>
      </c>
      <c r="AL54" s="10" t="n">
        <f aca="false">IF(AND($E$19&gt;0,A54&gt;=$E$19,AO53=0),1,0)</f>
        <v>1</v>
      </c>
      <c r="AM54" s="61" t="n">
        <f aca="false">IF(AL54=1,MIN(S54-$H$19,IF($I$19="",9,T54-$I$19)),"")</f>
        <v>0.216287420785974</v>
      </c>
      <c r="AN54" s="61" t="n">
        <f aca="false">IF(AL54=1,MAX(0,MIN(100,AN53+IF(AM54&gt;=0,3,IF(AM54&gt;=-2,-4,-10)))),AN53)</f>
        <v>84</v>
      </c>
      <c r="AO54" s="64" t="n">
        <f aca="false">IF(OR(AO53=1,AND(AL54=1,AN54&lt;25)),1,0)</f>
        <v>0</v>
      </c>
      <c r="AP54" s="10" t="n">
        <f aca="false">IF(AND($E$20&gt;0,A54&gt;=$E$20,AS53=0),1,0)</f>
        <v>0</v>
      </c>
      <c r="AQ54" s="61" t="str">
        <f aca="false">IF(AP54=1,MIN(S54-$H$20,IF($I$20="",9,T54-$I$20)),"")</f>
        <v/>
      </c>
      <c r="AR54" s="61" t="n">
        <f aca="false">IF(AP54=1,MAX(0,MIN(100,AR53+IF(AQ54&gt;=0,3,IF(AQ54&gt;=-2,-4,-10)))),AR53)</f>
        <v>60</v>
      </c>
      <c r="AS54" s="64" t="n">
        <f aca="false">IF(OR(AS53=1,AND(AP54=1,AR54&lt;25)),1,0)</f>
        <v>0</v>
      </c>
    </row>
    <row r="55" customFormat="false" ht="15" hidden="false" customHeight="true" outlineLevel="0" collapsed="false">
      <c r="A55" s="10" t="n">
        <v>17</v>
      </c>
      <c r="B55" s="59" t="n">
        <f aca="false">AD55*$F$17+AH55*$F$18+AL55*$F$19+AP55*$F$20</f>
        <v>1800</v>
      </c>
      <c r="C55" s="60" t="n">
        <f aca="false">B55/$B$6</f>
        <v>0.72</v>
      </c>
      <c r="D55" s="59" t="n">
        <f aca="false">AD55*$G$17+AH55*$G$18+AL55*$G$19+AP55*$G$20</f>
        <v>1030</v>
      </c>
      <c r="E55" s="59" t="n">
        <f aca="false">2*D55</f>
        <v>2060</v>
      </c>
      <c r="F55" s="10" t="n">
        <f aca="false">ROUNDUP(D55/$B$18,0)</f>
        <v>65</v>
      </c>
      <c r="G55" s="10" t="n">
        <f aca="false">MAX($B$29,ROUNDUP(E55/$B$17,0))</f>
        <v>3</v>
      </c>
      <c r="H55" s="10" t="n">
        <f aca="false">MAX(1,ROUNDUP(F55/$B$20,0))</f>
        <v>4</v>
      </c>
      <c r="I55" s="10" t="n">
        <f aca="false">$B$30+INT(D55/$B$28)</f>
        <v>2</v>
      </c>
      <c r="J55" s="10" t="n">
        <f aca="false">IF($B$35=1,G54,G55)</f>
        <v>3</v>
      </c>
      <c r="K55" s="10" t="n">
        <f aca="false">IF($B$35=1,H54,H55)</f>
        <v>4</v>
      </c>
      <c r="L55" s="10" t="n">
        <f aca="false">IF($B$35=1,I54,I55)</f>
        <v>2</v>
      </c>
      <c r="M55" s="61" t="n">
        <f aca="false">$B$17*(0.7+0.3*U54/70)</f>
        <v>862.989443695692</v>
      </c>
      <c r="N55" s="60" t="n">
        <f aca="false">E55/(J55*M55)</f>
        <v>0.7956837382924</v>
      </c>
      <c r="O55" s="60" t="n">
        <f aca="false">F55/(K55*$B$20)</f>
        <v>0.8125</v>
      </c>
      <c r="P55" s="61" t="n">
        <f aca="false">$F$11*IF(AND($E$11&gt;0,A55&gt;=$E$11),IF((A55-$E$11+1)*4.3&lt;=$J$11*IF($E$8=1,1.5,1),-0.5,1),0)+$F$12*IF(AND($E$12&gt;0,A55&gt;=$E$12),IF((A55-$E$12+1)*4.3&lt;=$J$12*IF($E$8=1,1.5,1),-0.5,1),0)</f>
        <v>1.5</v>
      </c>
      <c r="Q55" s="61" t="n">
        <f aca="false">$G$11*IF(AND($E$11&gt;0,A55&gt;=$E$11),IF((A55-$E$11+1)*4.3&lt;=$J$11*IF($E$8=1,1.5,1),-0.5,1),0)+$G$12*IF(AND($E$12&gt;0,A55&gt;=$E$12),IF((A55-$E$12+1)*4.3&lt;=$J$12*IF($E$8=1,1.5,1),-0.5,1),0)</f>
        <v>0</v>
      </c>
      <c r="R55" s="62" t="n">
        <f aca="false">IF(AND($E$11&gt;0,A55=$E$11),$H$11,0)+IF(AND($E$11&gt;0,A55&gt;=$E$11),$I$11,0)+IF(AND($E$12&gt;0,A55=$E$12),$H$12,0)+IF(AND($E$12&gt;0,A55&gt;=$E$12),$I$12,0)</f>
        <v>150</v>
      </c>
      <c r="S55" s="61" t="n">
        <f aca="false">MAX(50,MIN(99.9,$B$31+$B$32*($E$5-10)+Q55-20*MAX(0,O55-1)-5*MAX(0,N55-1.05)))</f>
        <v>94.8</v>
      </c>
      <c r="T55" s="61" t="n">
        <f aca="false">MAX(50,MIN(99.9,$B$33+$B$34*($E$6-10)+0.04*(U54-60)+P55-25*MAX(0,C55-0.85)-8*MAX(0,N55-1)))</f>
        <v>97.2161868235109</v>
      </c>
      <c r="U55" s="61" t="n">
        <f aca="false">MAX(0,MIN(100,U54+0.35*(58+0.6*($E$7-10)-30*MAX(0,N55-1)-20*MAX(0,O55-1)-U54)))</f>
        <v>60.4030358820518</v>
      </c>
      <c r="V55" s="62" t="n">
        <f aca="false">B55*$B$7+E55*$B$8+D55*$B$9</f>
        <v>48628</v>
      </c>
      <c r="W55" s="62" t="n">
        <f aca="false">(J55*$B$10+K55*$B$11+L55*$B$12)*$B$13/12</f>
        <v>21240.8333333333</v>
      </c>
      <c r="X55" s="62" t="n">
        <f aca="false">F55*$B$19*($B$22*$B$21+$B$23+$B$24)+K55*$B$25+MAX(0,K55-$B$27)*$B$26</f>
        <v>11882</v>
      </c>
      <c r="Y55" s="62" t="n">
        <f aca="false">$B$14+$B$15+$B$16</f>
        <v>9000</v>
      </c>
      <c r="Z55" s="62" t="n">
        <f aca="false">IF(AND(AD55=1,AE55&lt;-2),0.05*($F$17*$B$7+2*$G$17*$B$8+$G$17*$B$9),0)+IF(AND(AH55=1,AI55&lt;-2),0.05*($F$18*$B$7+2*$G$18*$B$8+$G$18*$B$9),0)+IF(AND(AL55=1,AM55&lt;-2),0.05*($F$19*$B$7+2*$G$19*$B$8+$G$19*$B$9),0)+IF(AND(AP55=1,AQ55&lt;-2),0.05*($F$20*$B$7+2*$G$20*$B$8+$G$20*$B$9),0)</f>
        <v>0</v>
      </c>
      <c r="AA55" s="63" t="n">
        <f aca="false">V55-W55-X55-Y55-R55-Z55</f>
        <v>6355.16666666667</v>
      </c>
      <c r="AB55" s="63" t="n">
        <f aca="false">AB54+AA55</f>
        <v>215990.9</v>
      </c>
      <c r="AD55" s="10" t="n">
        <f aca="false">IF(AND($E$17&gt;0,A55&gt;=$E$17,AG54=0),1,0)</f>
        <v>1</v>
      </c>
      <c r="AE55" s="61" t="n">
        <f aca="false">IF(AD55=1,MIN(S55-$H$17,IF($I$17="",9,T55-$I$17)),"")</f>
        <v>2.8</v>
      </c>
      <c r="AF55" s="61" t="n">
        <f aca="false">IF(AD55=1,MAX(0,MIN(100,AF54+IF(AE55&gt;=0,3,IF(AE55&gt;=-2,-4,-10)))),AF54)</f>
        <v>100</v>
      </c>
      <c r="AG55" s="64" t="n">
        <f aca="false">IF(OR(AG54=1,AND(AD55=1,AF55&lt;25)),1,0)</f>
        <v>0</v>
      </c>
      <c r="AH55" s="10" t="n">
        <f aca="false">IF(AND($E$18&gt;0,A55&gt;=$E$18,AK54=0),1,0)</f>
        <v>1</v>
      </c>
      <c r="AI55" s="61" t="n">
        <f aca="false">IF(AH55=1,MIN(S55-$H$18,IF($I$18="",9,T55-$I$18)),"")</f>
        <v>1.21618682351088</v>
      </c>
      <c r="AJ55" s="61" t="n">
        <f aca="false">IF(AH55=1,MAX(0,MIN(100,AJ54+IF(AI55&gt;=0,3,IF(AI55&gt;=-2,-4,-10)))),AJ54)</f>
        <v>100</v>
      </c>
      <c r="AK55" s="64" t="n">
        <f aca="false">IF(OR(AK54=1,AND(AH55=1,AJ55&lt;25)),1,0)</f>
        <v>0</v>
      </c>
      <c r="AL55" s="10" t="n">
        <f aca="false">IF(AND($E$19&gt;0,A55&gt;=$E$19,AO54=0),1,0)</f>
        <v>1</v>
      </c>
      <c r="AM55" s="61" t="n">
        <f aca="false">IF(AL55=1,MIN(S55-$H$19,IF($I$19="",9,T55-$I$19)),"")</f>
        <v>0.216186823510881</v>
      </c>
      <c r="AN55" s="61" t="n">
        <f aca="false">IF(AL55=1,MAX(0,MIN(100,AN54+IF(AM55&gt;=0,3,IF(AM55&gt;=-2,-4,-10)))),AN54)</f>
        <v>87</v>
      </c>
      <c r="AO55" s="64" t="n">
        <f aca="false">IF(OR(AO54=1,AND(AL55=1,AN55&lt;25)),1,0)</f>
        <v>0</v>
      </c>
      <c r="AP55" s="10" t="n">
        <f aca="false">IF(AND($E$20&gt;0,A55&gt;=$E$20,AS54=0),1,0)</f>
        <v>0</v>
      </c>
      <c r="AQ55" s="61" t="str">
        <f aca="false">IF(AP55=1,MIN(S55-$H$20,IF($I$20="",9,T55-$I$20)),"")</f>
        <v/>
      </c>
      <c r="AR55" s="61" t="n">
        <f aca="false">IF(AP55=1,MAX(0,MIN(100,AR54+IF(AQ55&gt;=0,3,IF(AQ55&gt;=-2,-4,-10)))),AR54)</f>
        <v>60</v>
      </c>
      <c r="AS55" s="64" t="n">
        <f aca="false">IF(OR(AS54=1,AND(AP55=1,AR55&lt;25)),1,0)</f>
        <v>0</v>
      </c>
    </row>
    <row r="56" customFormat="false" ht="15" hidden="false" customHeight="true" outlineLevel="0" collapsed="false">
      <c r="A56" s="10" t="n">
        <v>18</v>
      </c>
      <c r="B56" s="59" t="n">
        <f aca="false">AD56*$F$17+AH56*$F$18+AL56*$F$19+AP56*$F$20</f>
        <v>1800</v>
      </c>
      <c r="C56" s="60" t="n">
        <f aca="false">B56/$B$6</f>
        <v>0.72</v>
      </c>
      <c r="D56" s="59" t="n">
        <f aca="false">AD56*$G$17+AH56*$G$18+AL56*$G$19+AP56*$G$20</f>
        <v>1030</v>
      </c>
      <c r="E56" s="59" t="n">
        <f aca="false">2*D56</f>
        <v>2060</v>
      </c>
      <c r="F56" s="10" t="n">
        <f aca="false">ROUNDUP(D56/$B$18,0)</f>
        <v>65</v>
      </c>
      <c r="G56" s="10" t="n">
        <f aca="false">MAX($B$29,ROUNDUP(E56/$B$17,0))</f>
        <v>3</v>
      </c>
      <c r="H56" s="10" t="n">
        <f aca="false">MAX(1,ROUNDUP(F56/$B$20,0))</f>
        <v>4</v>
      </c>
      <c r="I56" s="10" t="n">
        <f aca="false">$B$30+INT(D56/$B$28)</f>
        <v>2</v>
      </c>
      <c r="J56" s="10" t="n">
        <f aca="false">IF($B$35=1,G55,G56)</f>
        <v>3</v>
      </c>
      <c r="K56" s="10" t="n">
        <f aca="false">IF($B$35=1,H55,H56)</f>
        <v>4</v>
      </c>
      <c r="L56" s="10" t="n">
        <f aca="false">IF($B$35=1,I55,I56)</f>
        <v>2</v>
      </c>
      <c r="M56" s="61" t="n">
        <f aca="false">$B$17*(0.7+0.3*U55/70)</f>
        <v>862.9831384022</v>
      </c>
      <c r="N56" s="60" t="n">
        <f aca="false">E56/(J56*M56)</f>
        <v>0.795689551870063</v>
      </c>
      <c r="O56" s="60" t="n">
        <f aca="false">F56/(K56*$B$20)</f>
        <v>0.8125</v>
      </c>
      <c r="P56" s="61" t="n">
        <f aca="false">$F$11*IF(AND($E$11&gt;0,A56&gt;=$E$11),IF((A56-$E$11+1)*4.3&lt;=$J$11*IF($E$8=1,1.5,1),-0.5,1),0)+$F$12*IF(AND($E$12&gt;0,A56&gt;=$E$12),IF((A56-$E$12+1)*4.3&lt;=$J$12*IF($E$8=1,1.5,1),-0.5,1),0)</f>
        <v>1.5</v>
      </c>
      <c r="Q56" s="61" t="n">
        <f aca="false">$G$11*IF(AND($E$11&gt;0,A56&gt;=$E$11),IF((A56-$E$11+1)*4.3&lt;=$J$11*IF($E$8=1,1.5,1),-0.5,1),0)+$G$12*IF(AND($E$12&gt;0,A56&gt;=$E$12),IF((A56-$E$12+1)*4.3&lt;=$J$12*IF($E$8=1,1.5,1),-0.5,1),0)</f>
        <v>0</v>
      </c>
      <c r="R56" s="62" t="n">
        <f aca="false">IF(AND($E$11&gt;0,A56=$E$11),$H$11,0)+IF(AND($E$11&gt;0,A56&gt;=$E$11),$I$11,0)+IF(AND($E$12&gt;0,A56=$E$12),$H$12,0)+IF(AND($E$12&gt;0,A56&gt;=$E$12),$I$12,0)</f>
        <v>150</v>
      </c>
      <c r="S56" s="61" t="n">
        <f aca="false">MAX(50,MIN(99.9,$B$31+$B$32*($E$5-10)+Q56-20*MAX(0,O56-1)-5*MAX(0,N56-1.05)))</f>
        <v>94.8</v>
      </c>
      <c r="T56" s="61" t="n">
        <f aca="false">MAX(50,MIN(99.9,$B$33+$B$34*($E$6-10)+0.04*(U55-60)+P56-25*MAX(0,C56-0.85)-8*MAX(0,N56-1)))</f>
        <v>97.2161214352821</v>
      </c>
      <c r="U56" s="61" t="n">
        <f aca="false">MAX(0,MIN(100,U55+0.35*(58+0.6*($E$7-10)-30*MAX(0,N56-1)-20*MAX(0,O56-1)-U55)))</f>
        <v>60.4019733233337</v>
      </c>
      <c r="V56" s="62" t="n">
        <f aca="false">B56*$B$7+E56*$B$8+D56*$B$9</f>
        <v>48628</v>
      </c>
      <c r="W56" s="62" t="n">
        <f aca="false">(J56*$B$10+K56*$B$11+L56*$B$12)*$B$13/12</f>
        <v>21240.8333333333</v>
      </c>
      <c r="X56" s="62" t="n">
        <f aca="false">F56*$B$19*($B$22*$B$21+$B$23+$B$24)+K56*$B$25+MAX(0,K56-$B$27)*$B$26</f>
        <v>11882</v>
      </c>
      <c r="Y56" s="62" t="n">
        <f aca="false">$B$14+$B$15+$B$16</f>
        <v>9000</v>
      </c>
      <c r="Z56" s="62" t="n">
        <f aca="false">IF(AND(AD56=1,AE56&lt;-2),0.05*($F$17*$B$7+2*$G$17*$B$8+$G$17*$B$9),0)+IF(AND(AH56=1,AI56&lt;-2),0.05*($F$18*$B$7+2*$G$18*$B$8+$G$18*$B$9),0)+IF(AND(AL56=1,AM56&lt;-2),0.05*($F$19*$B$7+2*$G$19*$B$8+$G$19*$B$9),0)+IF(AND(AP56=1,AQ56&lt;-2),0.05*($F$20*$B$7+2*$G$20*$B$8+$G$20*$B$9),0)</f>
        <v>0</v>
      </c>
      <c r="AA56" s="63" t="n">
        <f aca="false">V56-W56-X56-Y56-R56-Z56</f>
        <v>6355.16666666667</v>
      </c>
      <c r="AB56" s="63" t="n">
        <f aca="false">AB55+AA56</f>
        <v>222346.066666667</v>
      </c>
      <c r="AD56" s="10" t="n">
        <f aca="false">IF(AND($E$17&gt;0,A56&gt;=$E$17,AG55=0),1,0)</f>
        <v>1</v>
      </c>
      <c r="AE56" s="61" t="n">
        <f aca="false">IF(AD56=1,MIN(S56-$H$17,IF($I$17="",9,T56-$I$17)),"")</f>
        <v>2.8</v>
      </c>
      <c r="AF56" s="61" t="n">
        <f aca="false">IF(AD56=1,MAX(0,MIN(100,AF55+IF(AE56&gt;=0,3,IF(AE56&gt;=-2,-4,-10)))),AF55)</f>
        <v>100</v>
      </c>
      <c r="AG56" s="64" t="n">
        <f aca="false">IF(OR(AG55=1,AND(AD56=1,AF56&lt;25)),1,0)</f>
        <v>0</v>
      </c>
      <c r="AH56" s="10" t="n">
        <f aca="false">IF(AND($E$18&gt;0,A56&gt;=$E$18,AK55=0),1,0)</f>
        <v>1</v>
      </c>
      <c r="AI56" s="61" t="n">
        <f aca="false">IF(AH56=1,MIN(S56-$H$18,IF($I$18="",9,T56-$I$18)),"")</f>
        <v>1.21612143528208</v>
      </c>
      <c r="AJ56" s="61" t="n">
        <f aca="false">IF(AH56=1,MAX(0,MIN(100,AJ55+IF(AI56&gt;=0,3,IF(AI56&gt;=-2,-4,-10)))),AJ55)</f>
        <v>100</v>
      </c>
      <c r="AK56" s="64" t="n">
        <f aca="false">IF(OR(AK55=1,AND(AH56=1,AJ56&lt;25)),1,0)</f>
        <v>0</v>
      </c>
      <c r="AL56" s="10" t="n">
        <f aca="false">IF(AND($E$19&gt;0,A56&gt;=$E$19,AO55=0),1,0)</f>
        <v>1</v>
      </c>
      <c r="AM56" s="61" t="n">
        <f aca="false">IF(AL56=1,MIN(S56-$H$19,IF($I$19="",9,T56-$I$19)),"")</f>
        <v>0.216121435282076</v>
      </c>
      <c r="AN56" s="61" t="n">
        <f aca="false">IF(AL56=1,MAX(0,MIN(100,AN55+IF(AM56&gt;=0,3,IF(AM56&gt;=-2,-4,-10)))),AN55)</f>
        <v>90</v>
      </c>
      <c r="AO56" s="64" t="n">
        <f aca="false">IF(OR(AO55=1,AND(AL56=1,AN56&lt;25)),1,0)</f>
        <v>0</v>
      </c>
      <c r="AP56" s="10" t="n">
        <f aca="false">IF(AND($E$20&gt;0,A56&gt;=$E$20,AS55=0),1,0)</f>
        <v>0</v>
      </c>
      <c r="AQ56" s="61" t="str">
        <f aca="false">IF(AP56=1,MIN(S56-$H$20,IF($I$20="",9,T56-$I$20)),"")</f>
        <v/>
      </c>
      <c r="AR56" s="61" t="n">
        <f aca="false">IF(AP56=1,MAX(0,MIN(100,AR55+IF(AQ56&gt;=0,3,IF(AQ56&gt;=-2,-4,-10)))),AR55)</f>
        <v>60</v>
      </c>
      <c r="AS56" s="64" t="n">
        <f aca="false">IF(OR(AS55=1,AND(AP56=1,AR56&lt;25)),1,0)</f>
        <v>0</v>
      </c>
    </row>
    <row r="57" customFormat="false" ht="15" hidden="false" customHeight="true" outlineLevel="0" collapsed="false">
      <c r="A57" s="10" t="n">
        <v>19</v>
      </c>
      <c r="B57" s="59" t="n">
        <f aca="false">AD57*$F$17+AH57*$F$18+AL57*$F$19+AP57*$F$20</f>
        <v>1800</v>
      </c>
      <c r="C57" s="60" t="n">
        <f aca="false">B57/$B$6</f>
        <v>0.72</v>
      </c>
      <c r="D57" s="59" t="n">
        <f aca="false">AD57*$G$17+AH57*$G$18+AL57*$G$19+AP57*$G$20</f>
        <v>1030</v>
      </c>
      <c r="E57" s="59" t="n">
        <f aca="false">2*D57</f>
        <v>2060</v>
      </c>
      <c r="F57" s="10" t="n">
        <f aca="false">ROUNDUP(D57/$B$18,0)</f>
        <v>65</v>
      </c>
      <c r="G57" s="10" t="n">
        <f aca="false">MAX($B$29,ROUNDUP(E57/$B$17,0))</f>
        <v>3</v>
      </c>
      <c r="H57" s="10" t="n">
        <f aca="false">MAX(1,ROUNDUP(F57/$B$20,0))</f>
        <v>4</v>
      </c>
      <c r="I57" s="10" t="n">
        <f aca="false">$B$30+INT(D57/$B$28)</f>
        <v>2</v>
      </c>
      <c r="J57" s="10" t="n">
        <f aca="false">IF($B$35=1,G56,G57)</f>
        <v>3</v>
      </c>
      <c r="K57" s="10" t="n">
        <f aca="false">IF($B$35=1,H56,H57)</f>
        <v>4</v>
      </c>
      <c r="L57" s="10" t="n">
        <f aca="false">IF($B$35=1,I56,I57)</f>
        <v>2</v>
      </c>
      <c r="M57" s="61" t="n">
        <f aca="false">$B$17*(0.7+0.3*U56/70)</f>
        <v>862.97903996143</v>
      </c>
      <c r="N57" s="60" t="n">
        <f aca="false">E57/(J57*M57)</f>
        <v>0.7956933307411</v>
      </c>
      <c r="O57" s="60" t="n">
        <f aca="false">F57/(K57*$B$20)</f>
        <v>0.8125</v>
      </c>
      <c r="P57" s="61" t="n">
        <f aca="false">$F$11*IF(AND($E$11&gt;0,A57&gt;=$E$11),IF((A57-$E$11+1)*4.3&lt;=$J$11*IF($E$8=1,1.5,1),-0.5,1),0)+$F$12*IF(AND($E$12&gt;0,A57&gt;=$E$12),IF((A57-$E$12+1)*4.3&lt;=$J$12*IF($E$8=1,1.5,1),-0.5,1),0)</f>
        <v>1.5</v>
      </c>
      <c r="Q57" s="61" t="n">
        <f aca="false">$G$11*IF(AND($E$11&gt;0,A57&gt;=$E$11),IF((A57-$E$11+1)*4.3&lt;=$J$11*IF($E$8=1,1.5,1),-0.5,1),0)+$G$12*IF(AND($E$12&gt;0,A57&gt;=$E$12),IF((A57-$E$12+1)*4.3&lt;=$J$12*IF($E$8=1,1.5,1),-0.5,1),0)</f>
        <v>0</v>
      </c>
      <c r="R57" s="62" t="n">
        <f aca="false">IF(AND($E$11&gt;0,A57=$E$11),$H$11,0)+IF(AND($E$11&gt;0,A57&gt;=$E$11),$I$11,0)+IF(AND($E$12&gt;0,A57=$E$12),$H$12,0)+IF(AND($E$12&gt;0,A57&gt;=$E$12),$I$12,0)</f>
        <v>150</v>
      </c>
      <c r="S57" s="61" t="n">
        <f aca="false">MAX(50,MIN(99.9,$B$31+$B$32*($E$5-10)+Q57-20*MAX(0,O57-1)-5*MAX(0,N57-1.05)))</f>
        <v>94.8</v>
      </c>
      <c r="T57" s="61" t="n">
        <f aca="false">MAX(50,MIN(99.9,$B$33+$B$34*($E$6-10)+0.04*(U56-60)+P57-25*MAX(0,C57-0.85)-8*MAX(0,N57-1)))</f>
        <v>97.2160789329333</v>
      </c>
      <c r="U57" s="61" t="n">
        <f aca="false">MAX(0,MIN(100,U56+0.35*(58+0.6*($E$7-10)-30*MAX(0,N57-1)-20*MAX(0,O57-1)-U56)))</f>
        <v>60.4012826601669</v>
      </c>
      <c r="V57" s="62" t="n">
        <f aca="false">B57*$B$7+E57*$B$8+D57*$B$9</f>
        <v>48628</v>
      </c>
      <c r="W57" s="62" t="n">
        <f aca="false">(J57*$B$10+K57*$B$11+L57*$B$12)*$B$13/12</f>
        <v>21240.8333333333</v>
      </c>
      <c r="X57" s="62" t="n">
        <f aca="false">F57*$B$19*($B$22*$B$21+$B$23+$B$24)+K57*$B$25+MAX(0,K57-$B$27)*$B$26</f>
        <v>11882</v>
      </c>
      <c r="Y57" s="62" t="n">
        <f aca="false">$B$14+$B$15+$B$16</f>
        <v>9000</v>
      </c>
      <c r="Z57" s="62" t="n">
        <f aca="false">IF(AND(AD57=1,AE57&lt;-2),0.05*($F$17*$B$7+2*$G$17*$B$8+$G$17*$B$9),0)+IF(AND(AH57=1,AI57&lt;-2),0.05*($F$18*$B$7+2*$G$18*$B$8+$G$18*$B$9),0)+IF(AND(AL57=1,AM57&lt;-2),0.05*($F$19*$B$7+2*$G$19*$B$8+$G$19*$B$9),0)+IF(AND(AP57=1,AQ57&lt;-2),0.05*($F$20*$B$7+2*$G$20*$B$8+$G$20*$B$9),0)</f>
        <v>0</v>
      </c>
      <c r="AA57" s="63" t="n">
        <f aca="false">V57-W57-X57-Y57-R57-Z57</f>
        <v>6355.16666666667</v>
      </c>
      <c r="AB57" s="63" t="n">
        <f aca="false">AB56+AA57</f>
        <v>228701.233333333</v>
      </c>
      <c r="AD57" s="10" t="n">
        <f aca="false">IF(AND($E$17&gt;0,A57&gt;=$E$17,AG56=0),1,0)</f>
        <v>1</v>
      </c>
      <c r="AE57" s="61" t="n">
        <f aca="false">IF(AD57=1,MIN(S57-$H$17,IF($I$17="",9,T57-$I$17)),"")</f>
        <v>2.8</v>
      </c>
      <c r="AF57" s="61" t="n">
        <f aca="false">IF(AD57=1,MAX(0,MIN(100,AF56+IF(AE57&gt;=0,3,IF(AE57&gt;=-2,-4,-10)))),AF56)</f>
        <v>100</v>
      </c>
      <c r="AG57" s="64" t="n">
        <f aca="false">IF(OR(AG56=1,AND(AD57=1,AF57&lt;25)),1,0)</f>
        <v>0</v>
      </c>
      <c r="AH57" s="10" t="n">
        <f aca="false">IF(AND($E$18&gt;0,A57&gt;=$E$18,AK56=0),1,0)</f>
        <v>1</v>
      </c>
      <c r="AI57" s="61" t="n">
        <f aca="false">IF(AH57=1,MIN(S57-$H$18,IF($I$18="",9,T57-$I$18)),"")</f>
        <v>1.21607893293334</v>
      </c>
      <c r="AJ57" s="61" t="n">
        <f aca="false">IF(AH57=1,MAX(0,MIN(100,AJ56+IF(AI57&gt;=0,3,IF(AI57&gt;=-2,-4,-10)))),AJ56)</f>
        <v>100</v>
      </c>
      <c r="AK57" s="64" t="n">
        <f aca="false">IF(OR(AK56=1,AND(AH57=1,AJ57&lt;25)),1,0)</f>
        <v>0</v>
      </c>
      <c r="AL57" s="10" t="n">
        <f aca="false">IF(AND($E$19&gt;0,A57&gt;=$E$19,AO56=0),1,0)</f>
        <v>1</v>
      </c>
      <c r="AM57" s="61" t="n">
        <f aca="false">IF(AL57=1,MIN(S57-$H$19,IF($I$19="",9,T57-$I$19)),"")</f>
        <v>0.216078932933343</v>
      </c>
      <c r="AN57" s="61" t="n">
        <f aca="false">IF(AL57=1,MAX(0,MIN(100,AN56+IF(AM57&gt;=0,3,IF(AM57&gt;=-2,-4,-10)))),AN56)</f>
        <v>93</v>
      </c>
      <c r="AO57" s="64" t="n">
        <f aca="false">IF(OR(AO56=1,AND(AL57=1,AN57&lt;25)),1,0)</f>
        <v>0</v>
      </c>
      <c r="AP57" s="10" t="n">
        <f aca="false">IF(AND($E$20&gt;0,A57&gt;=$E$20,AS56=0),1,0)</f>
        <v>0</v>
      </c>
      <c r="AQ57" s="61" t="str">
        <f aca="false">IF(AP57=1,MIN(S57-$H$20,IF($I$20="",9,T57-$I$20)),"")</f>
        <v/>
      </c>
      <c r="AR57" s="61" t="n">
        <f aca="false">IF(AP57=1,MAX(0,MIN(100,AR56+IF(AQ57&gt;=0,3,IF(AQ57&gt;=-2,-4,-10)))),AR56)</f>
        <v>60</v>
      </c>
      <c r="AS57" s="64" t="n">
        <f aca="false">IF(OR(AS56=1,AND(AP57=1,AR57&lt;25)),1,0)</f>
        <v>0</v>
      </c>
    </row>
    <row r="58" customFormat="false" ht="15" hidden="false" customHeight="true" outlineLevel="0" collapsed="false">
      <c r="A58" s="10" t="n">
        <v>20</v>
      </c>
      <c r="B58" s="59" t="n">
        <f aca="false">AD58*$F$17+AH58*$F$18+AL58*$F$19+AP58*$F$20</f>
        <v>1800</v>
      </c>
      <c r="C58" s="60" t="n">
        <f aca="false">B58/$B$6</f>
        <v>0.72</v>
      </c>
      <c r="D58" s="59" t="n">
        <f aca="false">AD58*$G$17+AH58*$G$18+AL58*$G$19+AP58*$G$20</f>
        <v>1030</v>
      </c>
      <c r="E58" s="59" t="n">
        <f aca="false">2*D58</f>
        <v>2060</v>
      </c>
      <c r="F58" s="10" t="n">
        <f aca="false">ROUNDUP(D58/$B$18,0)</f>
        <v>65</v>
      </c>
      <c r="G58" s="10" t="n">
        <f aca="false">MAX($B$29,ROUNDUP(E58/$B$17,0))</f>
        <v>3</v>
      </c>
      <c r="H58" s="10" t="n">
        <f aca="false">MAX(1,ROUNDUP(F58/$B$20,0))</f>
        <v>4</v>
      </c>
      <c r="I58" s="10" t="n">
        <f aca="false">$B$30+INT(D58/$B$28)</f>
        <v>2</v>
      </c>
      <c r="J58" s="10" t="n">
        <f aca="false">IF($B$35=1,G57,G58)</f>
        <v>3</v>
      </c>
      <c r="K58" s="10" t="n">
        <f aca="false">IF($B$35=1,H57,H58)</f>
        <v>4</v>
      </c>
      <c r="L58" s="10" t="n">
        <f aca="false">IF($B$35=1,I57,I58)</f>
        <v>2</v>
      </c>
      <c r="M58" s="61" t="n">
        <f aca="false">$B$17*(0.7+0.3*U57/70)</f>
        <v>862.976375974929</v>
      </c>
      <c r="N58" s="60" t="n">
        <f aca="false">E58/(J58*M58)</f>
        <v>0.795695787026522</v>
      </c>
      <c r="O58" s="60" t="n">
        <f aca="false">F58/(K58*$B$20)</f>
        <v>0.8125</v>
      </c>
      <c r="P58" s="61" t="n">
        <f aca="false">$F$11*IF(AND($E$11&gt;0,A58&gt;=$E$11),IF((A58-$E$11+1)*4.3&lt;=$J$11*IF($E$8=1,1.5,1),-0.5,1),0)+$F$12*IF(AND($E$12&gt;0,A58&gt;=$E$12),IF((A58-$E$12+1)*4.3&lt;=$J$12*IF($E$8=1,1.5,1),-0.5,1),0)</f>
        <v>1.5</v>
      </c>
      <c r="Q58" s="61" t="n">
        <f aca="false">$G$11*IF(AND($E$11&gt;0,A58&gt;=$E$11),IF((A58-$E$11+1)*4.3&lt;=$J$11*IF($E$8=1,1.5,1),-0.5,1),0)+$G$12*IF(AND($E$12&gt;0,A58&gt;=$E$12),IF((A58-$E$12+1)*4.3&lt;=$J$12*IF($E$8=1,1.5,1),-0.5,1),0)</f>
        <v>0</v>
      </c>
      <c r="R58" s="62" t="n">
        <f aca="false">IF(AND($E$11&gt;0,A58=$E$11),$H$11,0)+IF(AND($E$11&gt;0,A58&gt;=$E$11),$I$11,0)+IF(AND($E$12&gt;0,A58=$E$12),$H$12,0)+IF(AND($E$12&gt;0,A58&gt;=$E$12),$I$12,0)</f>
        <v>150</v>
      </c>
      <c r="S58" s="61" t="n">
        <f aca="false">MAX(50,MIN(99.9,$B$31+$B$32*($E$5-10)+Q58-20*MAX(0,O58-1)-5*MAX(0,N58-1.05)))</f>
        <v>94.8</v>
      </c>
      <c r="T58" s="61" t="n">
        <f aca="false">MAX(50,MIN(99.9,$B$33+$B$34*($E$6-10)+0.04*(U57-60)+P58-25*MAX(0,C58-0.85)-8*MAX(0,N58-1)))</f>
        <v>97.2160513064067</v>
      </c>
      <c r="U58" s="61" t="n">
        <f aca="false">MAX(0,MIN(100,U57+0.35*(58+0.6*($E$7-10)-30*MAX(0,N58-1)-20*MAX(0,O58-1)-U57)))</f>
        <v>60.4008337291085</v>
      </c>
      <c r="V58" s="62" t="n">
        <f aca="false">B58*$B$7+E58*$B$8+D58*$B$9</f>
        <v>48628</v>
      </c>
      <c r="W58" s="62" t="n">
        <f aca="false">(J58*$B$10+K58*$B$11+L58*$B$12)*$B$13/12</f>
        <v>21240.8333333333</v>
      </c>
      <c r="X58" s="62" t="n">
        <f aca="false">F58*$B$19*($B$22*$B$21+$B$23+$B$24)+K58*$B$25+MAX(0,K58-$B$27)*$B$26</f>
        <v>11882</v>
      </c>
      <c r="Y58" s="62" t="n">
        <f aca="false">$B$14+$B$15+$B$16</f>
        <v>9000</v>
      </c>
      <c r="Z58" s="62" t="n">
        <f aca="false">IF(AND(AD58=1,AE58&lt;-2),0.05*($F$17*$B$7+2*$G$17*$B$8+$G$17*$B$9),0)+IF(AND(AH58=1,AI58&lt;-2),0.05*($F$18*$B$7+2*$G$18*$B$8+$G$18*$B$9),0)+IF(AND(AL58=1,AM58&lt;-2),0.05*($F$19*$B$7+2*$G$19*$B$8+$G$19*$B$9),0)+IF(AND(AP58=1,AQ58&lt;-2),0.05*($F$20*$B$7+2*$G$20*$B$8+$G$20*$B$9),0)</f>
        <v>0</v>
      </c>
      <c r="AA58" s="63" t="n">
        <f aca="false">V58-W58-X58-Y58-R58-Z58</f>
        <v>6355.16666666667</v>
      </c>
      <c r="AB58" s="63" t="n">
        <f aca="false">AB57+AA58</f>
        <v>235056.4</v>
      </c>
      <c r="AD58" s="10" t="n">
        <f aca="false">IF(AND($E$17&gt;0,A58&gt;=$E$17,AG57=0),1,0)</f>
        <v>1</v>
      </c>
      <c r="AE58" s="61" t="n">
        <f aca="false">IF(AD58=1,MIN(S58-$H$17,IF($I$17="",9,T58-$I$17)),"")</f>
        <v>2.8</v>
      </c>
      <c r="AF58" s="61" t="n">
        <f aca="false">IF(AD58=1,MAX(0,MIN(100,AF57+IF(AE58&gt;=0,3,IF(AE58&gt;=-2,-4,-10)))),AF57)</f>
        <v>100</v>
      </c>
      <c r="AG58" s="64" t="n">
        <f aca="false">IF(OR(AG57=1,AND(AD58=1,AF58&lt;25)),1,0)</f>
        <v>0</v>
      </c>
      <c r="AH58" s="10" t="n">
        <f aca="false">IF(AND($E$18&gt;0,A58&gt;=$E$18,AK57=0),1,0)</f>
        <v>1</v>
      </c>
      <c r="AI58" s="61" t="n">
        <f aca="false">IF(AH58=1,MIN(S58-$H$18,IF($I$18="",9,T58-$I$18)),"")</f>
        <v>1.21605130640668</v>
      </c>
      <c r="AJ58" s="61" t="n">
        <f aca="false">IF(AH58=1,MAX(0,MIN(100,AJ57+IF(AI58&gt;=0,3,IF(AI58&gt;=-2,-4,-10)))),AJ57)</f>
        <v>100</v>
      </c>
      <c r="AK58" s="64" t="n">
        <f aca="false">IF(OR(AK57=1,AND(AH58=1,AJ58&lt;25)),1,0)</f>
        <v>0</v>
      </c>
      <c r="AL58" s="10" t="n">
        <f aca="false">IF(AND($E$19&gt;0,A58&gt;=$E$19,AO57=0),1,0)</f>
        <v>1</v>
      </c>
      <c r="AM58" s="61" t="n">
        <f aca="false">IF(AL58=1,MIN(S58-$H$19,IF($I$19="",9,T58-$I$19)),"")</f>
        <v>0.216051306406683</v>
      </c>
      <c r="AN58" s="61" t="n">
        <f aca="false">IF(AL58=1,MAX(0,MIN(100,AN57+IF(AM58&gt;=0,3,IF(AM58&gt;=-2,-4,-10)))),AN57)</f>
        <v>96</v>
      </c>
      <c r="AO58" s="64" t="n">
        <f aca="false">IF(OR(AO57=1,AND(AL58=1,AN58&lt;25)),1,0)</f>
        <v>0</v>
      </c>
      <c r="AP58" s="10" t="n">
        <f aca="false">IF(AND($E$20&gt;0,A58&gt;=$E$20,AS57=0),1,0)</f>
        <v>0</v>
      </c>
      <c r="AQ58" s="61" t="str">
        <f aca="false">IF(AP58=1,MIN(S58-$H$20,IF($I$20="",9,T58-$I$20)),"")</f>
        <v/>
      </c>
      <c r="AR58" s="61" t="n">
        <f aca="false">IF(AP58=1,MAX(0,MIN(100,AR57+IF(AQ58&gt;=0,3,IF(AQ58&gt;=-2,-4,-10)))),AR57)</f>
        <v>60</v>
      </c>
      <c r="AS58" s="64" t="n">
        <f aca="false">IF(OR(AS57=1,AND(AP58=1,AR58&lt;25)),1,0)</f>
        <v>0</v>
      </c>
    </row>
    <row r="59" customFormat="false" ht="15" hidden="false" customHeight="true" outlineLevel="0" collapsed="false">
      <c r="A59" s="10" t="n">
        <v>21</v>
      </c>
      <c r="B59" s="59" t="n">
        <f aca="false">AD59*$F$17+AH59*$F$18+AL59*$F$19+AP59*$F$20</f>
        <v>1800</v>
      </c>
      <c r="C59" s="60" t="n">
        <f aca="false">B59/$B$6</f>
        <v>0.72</v>
      </c>
      <c r="D59" s="59" t="n">
        <f aca="false">AD59*$G$17+AH59*$G$18+AL59*$G$19+AP59*$G$20</f>
        <v>1030</v>
      </c>
      <c r="E59" s="59" t="n">
        <f aca="false">2*D59</f>
        <v>2060</v>
      </c>
      <c r="F59" s="10" t="n">
        <f aca="false">ROUNDUP(D59/$B$18,0)</f>
        <v>65</v>
      </c>
      <c r="G59" s="10" t="n">
        <f aca="false">MAX($B$29,ROUNDUP(E59/$B$17,0))</f>
        <v>3</v>
      </c>
      <c r="H59" s="10" t="n">
        <f aca="false">MAX(1,ROUNDUP(F59/$B$20,0))</f>
        <v>4</v>
      </c>
      <c r="I59" s="10" t="n">
        <f aca="false">$B$30+INT(D59/$B$28)</f>
        <v>2</v>
      </c>
      <c r="J59" s="10" t="n">
        <f aca="false">IF($B$35=1,G58,G59)</f>
        <v>3</v>
      </c>
      <c r="K59" s="10" t="n">
        <f aca="false">IF($B$35=1,H58,H59)</f>
        <v>4</v>
      </c>
      <c r="L59" s="10" t="n">
        <f aca="false">IF($B$35=1,I58,I59)</f>
        <v>2</v>
      </c>
      <c r="M59" s="61" t="n">
        <f aca="false">$B$17*(0.7+0.3*U58/70)</f>
        <v>862.974644383704</v>
      </c>
      <c r="N59" s="60" t="n">
        <f aca="false">E59/(J59*M59)</f>
        <v>0.795697383620178</v>
      </c>
      <c r="O59" s="60" t="n">
        <f aca="false">F59/(K59*$B$20)</f>
        <v>0.8125</v>
      </c>
      <c r="P59" s="61" t="n">
        <f aca="false">$F$11*IF(AND($E$11&gt;0,A59&gt;=$E$11),IF((A59-$E$11+1)*4.3&lt;=$J$11*IF($E$8=1,1.5,1),-0.5,1),0)+$F$12*IF(AND($E$12&gt;0,A59&gt;=$E$12),IF((A59-$E$12+1)*4.3&lt;=$J$12*IF($E$8=1,1.5,1),-0.5,1),0)</f>
        <v>1.5</v>
      </c>
      <c r="Q59" s="61" t="n">
        <f aca="false">$G$11*IF(AND($E$11&gt;0,A59&gt;=$E$11),IF((A59-$E$11+1)*4.3&lt;=$J$11*IF($E$8=1,1.5,1),-0.5,1),0)+$G$12*IF(AND($E$12&gt;0,A59&gt;=$E$12),IF((A59-$E$12+1)*4.3&lt;=$J$12*IF($E$8=1,1.5,1),-0.5,1),0)</f>
        <v>0</v>
      </c>
      <c r="R59" s="62" t="n">
        <f aca="false">IF(AND($E$11&gt;0,A59=$E$11),$H$11,0)+IF(AND($E$11&gt;0,A59&gt;=$E$11),$I$11,0)+IF(AND($E$12&gt;0,A59=$E$12),$H$12,0)+IF(AND($E$12&gt;0,A59&gt;=$E$12),$I$12,0)</f>
        <v>150</v>
      </c>
      <c r="S59" s="61" t="n">
        <f aca="false">MAX(50,MIN(99.9,$B$31+$B$32*($E$5-10)+Q59-20*MAX(0,O59-1)-5*MAX(0,N59-1.05)))</f>
        <v>94.8</v>
      </c>
      <c r="T59" s="61" t="n">
        <f aca="false">MAX(50,MIN(99.9,$B$33+$B$34*($E$6-10)+0.04*(U58-60)+P59-25*MAX(0,C59-0.85)-8*MAX(0,N59-1)))</f>
        <v>97.2160333491644</v>
      </c>
      <c r="U59" s="61" t="n">
        <f aca="false">MAX(0,MIN(100,U58+0.35*(58+0.6*($E$7-10)-30*MAX(0,N59-1)-20*MAX(0,O59-1)-U58)))</f>
        <v>60.4005419239205</v>
      </c>
      <c r="V59" s="62" t="n">
        <f aca="false">B59*$B$7+E59*$B$8+D59*$B$9</f>
        <v>48628</v>
      </c>
      <c r="W59" s="62" t="n">
        <f aca="false">(J59*$B$10+K59*$B$11+L59*$B$12)*$B$13/12</f>
        <v>21240.8333333333</v>
      </c>
      <c r="X59" s="62" t="n">
        <f aca="false">F59*$B$19*($B$22*$B$21+$B$23+$B$24)+K59*$B$25+MAX(0,K59-$B$27)*$B$26</f>
        <v>11882</v>
      </c>
      <c r="Y59" s="62" t="n">
        <f aca="false">$B$14+$B$15+$B$16</f>
        <v>9000</v>
      </c>
      <c r="Z59" s="62" t="n">
        <f aca="false">IF(AND(AD59=1,AE59&lt;-2),0.05*($F$17*$B$7+2*$G$17*$B$8+$G$17*$B$9),0)+IF(AND(AH59=1,AI59&lt;-2),0.05*($F$18*$B$7+2*$G$18*$B$8+$G$18*$B$9),0)+IF(AND(AL59=1,AM59&lt;-2),0.05*($F$19*$B$7+2*$G$19*$B$8+$G$19*$B$9),0)+IF(AND(AP59=1,AQ59&lt;-2),0.05*($F$20*$B$7+2*$G$20*$B$8+$G$20*$B$9),0)</f>
        <v>0</v>
      </c>
      <c r="AA59" s="63" t="n">
        <f aca="false">V59-W59-X59-Y59-R59-Z59</f>
        <v>6355.16666666667</v>
      </c>
      <c r="AB59" s="63" t="n">
        <f aca="false">AB58+AA59</f>
        <v>241411.566666666</v>
      </c>
      <c r="AD59" s="10" t="n">
        <f aca="false">IF(AND($E$17&gt;0,A59&gt;=$E$17,AG58=0),1,0)</f>
        <v>1</v>
      </c>
      <c r="AE59" s="61" t="n">
        <f aca="false">IF(AD59=1,MIN(S59-$H$17,IF($I$17="",9,T59-$I$17)),"")</f>
        <v>2.8</v>
      </c>
      <c r="AF59" s="61" t="n">
        <f aca="false">IF(AD59=1,MAX(0,MIN(100,AF58+IF(AE59&gt;=0,3,IF(AE59&gt;=-2,-4,-10)))),AF58)</f>
        <v>100</v>
      </c>
      <c r="AG59" s="64" t="n">
        <f aca="false">IF(OR(AG58=1,AND(AD59=1,AF59&lt;25)),1,0)</f>
        <v>0</v>
      </c>
      <c r="AH59" s="10" t="n">
        <f aca="false">IF(AND($E$18&gt;0,A59&gt;=$E$18,AK58=0),1,0)</f>
        <v>1</v>
      </c>
      <c r="AI59" s="61" t="n">
        <f aca="false">IF(AH59=1,MIN(S59-$H$18,IF($I$18="",9,T59-$I$18)),"")</f>
        <v>1.21603334916435</v>
      </c>
      <c r="AJ59" s="61" t="n">
        <f aca="false">IF(AH59=1,MAX(0,MIN(100,AJ58+IF(AI59&gt;=0,3,IF(AI59&gt;=-2,-4,-10)))),AJ58)</f>
        <v>100</v>
      </c>
      <c r="AK59" s="64" t="n">
        <f aca="false">IF(OR(AK58=1,AND(AH59=1,AJ59&lt;25)),1,0)</f>
        <v>0</v>
      </c>
      <c r="AL59" s="10" t="n">
        <f aca="false">IF(AND($E$19&gt;0,A59&gt;=$E$19,AO58=0),1,0)</f>
        <v>1</v>
      </c>
      <c r="AM59" s="61" t="n">
        <f aca="false">IF(AL59=1,MIN(S59-$H$19,IF($I$19="",9,T59-$I$19)),"")</f>
        <v>0.216033349164348</v>
      </c>
      <c r="AN59" s="61" t="n">
        <f aca="false">IF(AL59=1,MAX(0,MIN(100,AN58+IF(AM59&gt;=0,3,IF(AM59&gt;=-2,-4,-10)))),AN58)</f>
        <v>99</v>
      </c>
      <c r="AO59" s="64" t="n">
        <f aca="false">IF(OR(AO58=1,AND(AL59=1,AN59&lt;25)),1,0)</f>
        <v>0</v>
      </c>
      <c r="AP59" s="10" t="n">
        <f aca="false">IF(AND($E$20&gt;0,A59&gt;=$E$20,AS58=0),1,0)</f>
        <v>0</v>
      </c>
      <c r="AQ59" s="61" t="str">
        <f aca="false">IF(AP59=1,MIN(S59-$H$20,IF($I$20="",9,T59-$I$20)),"")</f>
        <v/>
      </c>
      <c r="AR59" s="61" t="n">
        <f aca="false">IF(AP59=1,MAX(0,MIN(100,AR58+IF(AQ59&gt;=0,3,IF(AQ59&gt;=-2,-4,-10)))),AR58)</f>
        <v>60</v>
      </c>
      <c r="AS59" s="64" t="n">
        <f aca="false">IF(OR(AS58=1,AND(AP59=1,AR59&lt;25)),1,0)</f>
        <v>0</v>
      </c>
    </row>
    <row r="60" customFormat="false" ht="15" hidden="false" customHeight="true" outlineLevel="0" collapsed="false">
      <c r="A60" s="10" t="n">
        <v>22</v>
      </c>
      <c r="B60" s="59" t="n">
        <f aca="false">AD60*$F$17+AH60*$F$18+AL60*$F$19+AP60*$F$20</f>
        <v>1800</v>
      </c>
      <c r="C60" s="60" t="n">
        <f aca="false">B60/$B$6</f>
        <v>0.72</v>
      </c>
      <c r="D60" s="59" t="n">
        <f aca="false">AD60*$G$17+AH60*$G$18+AL60*$G$19+AP60*$G$20</f>
        <v>1030</v>
      </c>
      <c r="E60" s="59" t="n">
        <f aca="false">2*D60</f>
        <v>2060</v>
      </c>
      <c r="F60" s="10" t="n">
        <f aca="false">ROUNDUP(D60/$B$18,0)</f>
        <v>65</v>
      </c>
      <c r="G60" s="10" t="n">
        <f aca="false">MAX($B$29,ROUNDUP(E60/$B$17,0))</f>
        <v>3</v>
      </c>
      <c r="H60" s="10" t="n">
        <f aca="false">MAX(1,ROUNDUP(F60/$B$20,0))</f>
        <v>4</v>
      </c>
      <c r="I60" s="10" t="n">
        <f aca="false">$B$30+INT(D60/$B$28)</f>
        <v>2</v>
      </c>
      <c r="J60" s="10" t="n">
        <f aca="false">IF($B$35=1,G59,G60)</f>
        <v>3</v>
      </c>
      <c r="K60" s="10" t="n">
        <f aca="false">IF($B$35=1,H59,H60)</f>
        <v>4</v>
      </c>
      <c r="L60" s="10" t="n">
        <f aca="false">IF($B$35=1,I59,I60)</f>
        <v>2</v>
      </c>
      <c r="M60" s="61" t="n">
        <f aca="false">$B$17*(0.7+0.3*U59/70)</f>
        <v>862.973518849408</v>
      </c>
      <c r="N60" s="60" t="n">
        <f aca="false">E60/(J60*M60)</f>
        <v>0.79569842140949</v>
      </c>
      <c r="O60" s="60" t="n">
        <f aca="false">F60/(K60*$B$20)</f>
        <v>0.8125</v>
      </c>
      <c r="P60" s="61" t="n">
        <f aca="false">$F$11*IF(AND($E$11&gt;0,A60&gt;=$E$11),IF((A60-$E$11+1)*4.3&lt;=$J$11*IF($E$8=1,1.5,1),-0.5,1),0)+$F$12*IF(AND($E$12&gt;0,A60&gt;=$E$12),IF((A60-$E$12+1)*4.3&lt;=$J$12*IF($E$8=1,1.5,1),-0.5,1),0)</f>
        <v>1.5</v>
      </c>
      <c r="Q60" s="61" t="n">
        <f aca="false">$G$11*IF(AND($E$11&gt;0,A60&gt;=$E$11),IF((A60-$E$11+1)*4.3&lt;=$J$11*IF($E$8=1,1.5,1),-0.5,1),0)+$G$12*IF(AND($E$12&gt;0,A60&gt;=$E$12),IF((A60-$E$12+1)*4.3&lt;=$J$12*IF($E$8=1,1.5,1),-0.5,1),0)</f>
        <v>0</v>
      </c>
      <c r="R60" s="62" t="n">
        <f aca="false">IF(AND($E$11&gt;0,A60=$E$11),$H$11,0)+IF(AND($E$11&gt;0,A60&gt;=$E$11),$I$11,0)+IF(AND($E$12&gt;0,A60=$E$12),$H$12,0)+IF(AND($E$12&gt;0,A60&gt;=$E$12),$I$12,0)</f>
        <v>150</v>
      </c>
      <c r="S60" s="61" t="n">
        <f aca="false">MAX(50,MIN(99.9,$B$31+$B$32*($E$5-10)+Q60-20*MAX(0,O60-1)-5*MAX(0,N60-1.05)))</f>
        <v>94.8</v>
      </c>
      <c r="T60" s="61" t="n">
        <f aca="false">MAX(50,MIN(99.9,$B$33+$B$34*($E$6-10)+0.04*(U59-60)+P60-25*MAX(0,C60-0.85)-8*MAX(0,N60-1)))</f>
        <v>97.2160216769568</v>
      </c>
      <c r="U60" s="61" t="n">
        <f aca="false">MAX(0,MIN(100,U59+0.35*(58+0.6*($E$7-10)-30*MAX(0,N60-1)-20*MAX(0,O60-1)-U59)))</f>
        <v>60.4003522505483</v>
      </c>
      <c r="V60" s="62" t="n">
        <f aca="false">B60*$B$7+E60*$B$8+D60*$B$9</f>
        <v>48628</v>
      </c>
      <c r="W60" s="62" t="n">
        <f aca="false">(J60*$B$10+K60*$B$11+L60*$B$12)*$B$13/12</f>
        <v>21240.8333333333</v>
      </c>
      <c r="X60" s="62" t="n">
        <f aca="false">F60*$B$19*($B$22*$B$21+$B$23+$B$24)+K60*$B$25+MAX(0,K60-$B$27)*$B$26</f>
        <v>11882</v>
      </c>
      <c r="Y60" s="62" t="n">
        <f aca="false">$B$14+$B$15+$B$16</f>
        <v>9000</v>
      </c>
      <c r="Z60" s="62" t="n">
        <f aca="false">IF(AND(AD60=1,AE60&lt;-2),0.05*($F$17*$B$7+2*$G$17*$B$8+$G$17*$B$9),0)+IF(AND(AH60=1,AI60&lt;-2),0.05*($F$18*$B$7+2*$G$18*$B$8+$G$18*$B$9),0)+IF(AND(AL60=1,AM60&lt;-2),0.05*($F$19*$B$7+2*$G$19*$B$8+$G$19*$B$9),0)+IF(AND(AP60=1,AQ60&lt;-2),0.05*($F$20*$B$7+2*$G$20*$B$8+$G$20*$B$9),0)</f>
        <v>0</v>
      </c>
      <c r="AA60" s="63" t="n">
        <f aca="false">V60-W60-X60-Y60-R60-Z60</f>
        <v>6355.16666666667</v>
      </c>
      <c r="AB60" s="63" t="n">
        <f aca="false">AB59+AA60</f>
        <v>247766.733333333</v>
      </c>
      <c r="AD60" s="10" t="n">
        <f aca="false">IF(AND($E$17&gt;0,A60&gt;=$E$17,AG59=0),1,0)</f>
        <v>1</v>
      </c>
      <c r="AE60" s="61" t="n">
        <f aca="false">IF(AD60=1,MIN(S60-$H$17,IF($I$17="",9,T60-$I$17)),"")</f>
        <v>2.8</v>
      </c>
      <c r="AF60" s="61" t="n">
        <f aca="false">IF(AD60=1,MAX(0,MIN(100,AF59+IF(AE60&gt;=0,3,IF(AE60&gt;=-2,-4,-10)))),AF59)</f>
        <v>100</v>
      </c>
      <c r="AG60" s="64" t="n">
        <f aca="false">IF(OR(AG59=1,AND(AD60=1,AF60&lt;25)),1,0)</f>
        <v>0</v>
      </c>
      <c r="AH60" s="10" t="n">
        <f aca="false">IF(AND($E$18&gt;0,A60&gt;=$E$18,AK59=0),1,0)</f>
        <v>1</v>
      </c>
      <c r="AI60" s="61" t="n">
        <f aca="false">IF(AH60=1,MIN(S60-$H$18,IF($I$18="",9,T60-$I$18)),"")</f>
        <v>1.21602167695683</v>
      </c>
      <c r="AJ60" s="61" t="n">
        <f aca="false">IF(AH60=1,MAX(0,MIN(100,AJ59+IF(AI60&gt;=0,3,IF(AI60&gt;=-2,-4,-10)))),AJ59)</f>
        <v>100</v>
      </c>
      <c r="AK60" s="64" t="n">
        <f aca="false">IF(OR(AK59=1,AND(AH60=1,AJ60&lt;25)),1,0)</f>
        <v>0</v>
      </c>
      <c r="AL60" s="10" t="n">
        <f aca="false">IF(AND($E$19&gt;0,A60&gt;=$E$19,AO59=0),1,0)</f>
        <v>1</v>
      </c>
      <c r="AM60" s="61" t="n">
        <f aca="false">IF(AL60=1,MIN(S60-$H$19,IF($I$19="",9,T60-$I$19)),"")</f>
        <v>0.216021676956828</v>
      </c>
      <c r="AN60" s="61" t="n">
        <f aca="false">IF(AL60=1,MAX(0,MIN(100,AN59+IF(AM60&gt;=0,3,IF(AM60&gt;=-2,-4,-10)))),AN59)</f>
        <v>100</v>
      </c>
      <c r="AO60" s="64" t="n">
        <f aca="false">IF(OR(AO59=1,AND(AL60=1,AN60&lt;25)),1,0)</f>
        <v>0</v>
      </c>
      <c r="AP60" s="10" t="n">
        <f aca="false">IF(AND($E$20&gt;0,A60&gt;=$E$20,AS59=0),1,0)</f>
        <v>0</v>
      </c>
      <c r="AQ60" s="61" t="str">
        <f aca="false">IF(AP60=1,MIN(S60-$H$20,IF($I$20="",9,T60-$I$20)),"")</f>
        <v/>
      </c>
      <c r="AR60" s="61" t="n">
        <f aca="false">IF(AP60=1,MAX(0,MIN(100,AR59+IF(AQ60&gt;=0,3,IF(AQ60&gt;=-2,-4,-10)))),AR59)</f>
        <v>60</v>
      </c>
      <c r="AS60" s="64" t="n">
        <f aca="false">IF(OR(AS59=1,AND(AP60=1,AR60&lt;25)),1,0)</f>
        <v>0</v>
      </c>
    </row>
    <row r="61" customFormat="false" ht="15" hidden="false" customHeight="true" outlineLevel="0" collapsed="false">
      <c r="A61" s="10" t="n">
        <v>23</v>
      </c>
      <c r="B61" s="59" t="n">
        <f aca="false">AD61*$F$17+AH61*$F$18+AL61*$F$19+AP61*$F$20</f>
        <v>1800</v>
      </c>
      <c r="C61" s="60" t="n">
        <f aca="false">B61/$B$6</f>
        <v>0.72</v>
      </c>
      <c r="D61" s="59" t="n">
        <f aca="false">AD61*$G$17+AH61*$G$18+AL61*$G$19+AP61*$G$20</f>
        <v>1030</v>
      </c>
      <c r="E61" s="59" t="n">
        <f aca="false">2*D61</f>
        <v>2060</v>
      </c>
      <c r="F61" s="10" t="n">
        <f aca="false">ROUNDUP(D61/$B$18,0)</f>
        <v>65</v>
      </c>
      <c r="G61" s="10" t="n">
        <f aca="false">MAX($B$29,ROUNDUP(E61/$B$17,0))</f>
        <v>3</v>
      </c>
      <c r="H61" s="10" t="n">
        <f aca="false">MAX(1,ROUNDUP(F61/$B$20,0))</f>
        <v>4</v>
      </c>
      <c r="I61" s="10" t="n">
        <f aca="false">$B$30+INT(D61/$B$28)</f>
        <v>2</v>
      </c>
      <c r="J61" s="10" t="n">
        <f aca="false">IF($B$35=1,G60,G61)</f>
        <v>3</v>
      </c>
      <c r="K61" s="10" t="n">
        <f aca="false">IF($B$35=1,H60,H61)</f>
        <v>4</v>
      </c>
      <c r="L61" s="10" t="n">
        <f aca="false">IF($B$35=1,I60,I61)</f>
        <v>2</v>
      </c>
      <c r="M61" s="61" t="n">
        <f aca="false">$B$17*(0.7+0.3*U60/70)</f>
        <v>862.972787252115</v>
      </c>
      <c r="N61" s="60" t="n">
        <f aca="false">E61/(J61*M61)</f>
        <v>0.795699095973995</v>
      </c>
      <c r="O61" s="60" t="n">
        <f aca="false">F61/(K61*$B$20)</f>
        <v>0.8125</v>
      </c>
      <c r="P61" s="61" t="n">
        <f aca="false">$F$11*IF(AND($E$11&gt;0,A61&gt;=$E$11),IF((A61-$E$11+1)*4.3&lt;=$J$11*IF($E$8=1,1.5,1),-0.5,1),0)+$F$12*IF(AND($E$12&gt;0,A61&gt;=$E$12),IF((A61-$E$12+1)*4.3&lt;=$J$12*IF($E$8=1,1.5,1),-0.5,1),0)</f>
        <v>1.5</v>
      </c>
      <c r="Q61" s="61" t="n">
        <f aca="false">$G$11*IF(AND($E$11&gt;0,A61&gt;=$E$11),IF((A61-$E$11+1)*4.3&lt;=$J$11*IF($E$8=1,1.5,1),-0.5,1),0)+$G$12*IF(AND($E$12&gt;0,A61&gt;=$E$12),IF((A61-$E$12+1)*4.3&lt;=$J$12*IF($E$8=1,1.5,1),-0.5,1),0)</f>
        <v>0</v>
      </c>
      <c r="R61" s="62" t="n">
        <f aca="false">IF(AND($E$11&gt;0,A61=$E$11),$H$11,0)+IF(AND($E$11&gt;0,A61&gt;=$E$11),$I$11,0)+IF(AND($E$12&gt;0,A61=$E$12),$H$12,0)+IF(AND($E$12&gt;0,A61&gt;=$E$12),$I$12,0)</f>
        <v>150</v>
      </c>
      <c r="S61" s="61" t="n">
        <f aca="false">MAX(50,MIN(99.9,$B$31+$B$32*($E$5-10)+Q61-20*MAX(0,O61-1)-5*MAX(0,N61-1.05)))</f>
        <v>94.8</v>
      </c>
      <c r="T61" s="61" t="n">
        <f aca="false">MAX(50,MIN(99.9,$B$33+$B$34*($E$6-10)+0.04*(U60-60)+P61-25*MAX(0,C61-0.85)-8*MAX(0,N61-1)))</f>
        <v>97.2160140900219</v>
      </c>
      <c r="U61" s="61" t="n">
        <f aca="false">MAX(0,MIN(100,U60+0.35*(58+0.6*($E$7-10)-30*MAX(0,N61-1)-20*MAX(0,O61-1)-U60)))</f>
        <v>60.4002289628564</v>
      </c>
      <c r="V61" s="62" t="n">
        <f aca="false">B61*$B$7+E61*$B$8+D61*$B$9</f>
        <v>48628</v>
      </c>
      <c r="W61" s="62" t="n">
        <f aca="false">(J61*$B$10+K61*$B$11+L61*$B$12)*$B$13/12</f>
        <v>21240.8333333333</v>
      </c>
      <c r="X61" s="62" t="n">
        <f aca="false">F61*$B$19*($B$22*$B$21+$B$23+$B$24)+K61*$B$25+MAX(0,K61-$B$27)*$B$26</f>
        <v>11882</v>
      </c>
      <c r="Y61" s="62" t="n">
        <f aca="false">$B$14+$B$15+$B$16</f>
        <v>9000</v>
      </c>
      <c r="Z61" s="62" t="n">
        <f aca="false">IF(AND(AD61=1,AE61&lt;-2),0.05*($F$17*$B$7+2*$G$17*$B$8+$G$17*$B$9),0)+IF(AND(AH61=1,AI61&lt;-2),0.05*($F$18*$B$7+2*$G$18*$B$8+$G$18*$B$9),0)+IF(AND(AL61=1,AM61&lt;-2),0.05*($F$19*$B$7+2*$G$19*$B$8+$G$19*$B$9),0)+IF(AND(AP61=1,AQ61&lt;-2),0.05*($F$20*$B$7+2*$G$20*$B$8+$G$20*$B$9),0)</f>
        <v>0</v>
      </c>
      <c r="AA61" s="63" t="n">
        <f aca="false">V61-W61-X61-Y61-R61-Z61</f>
        <v>6355.16666666667</v>
      </c>
      <c r="AB61" s="63" t="n">
        <f aca="false">AB60+AA61</f>
        <v>254121.9</v>
      </c>
      <c r="AD61" s="10" t="n">
        <f aca="false">IF(AND($E$17&gt;0,A61&gt;=$E$17,AG60=0),1,0)</f>
        <v>1</v>
      </c>
      <c r="AE61" s="61" t="n">
        <f aca="false">IF(AD61=1,MIN(S61-$H$17,IF($I$17="",9,T61-$I$17)),"")</f>
        <v>2.8</v>
      </c>
      <c r="AF61" s="61" t="n">
        <f aca="false">IF(AD61=1,MAX(0,MIN(100,AF60+IF(AE61&gt;=0,3,IF(AE61&gt;=-2,-4,-10)))),AF60)</f>
        <v>100</v>
      </c>
      <c r="AG61" s="64" t="n">
        <f aca="false">IF(OR(AG60=1,AND(AD61=1,AF61&lt;25)),1,0)</f>
        <v>0</v>
      </c>
      <c r="AH61" s="10" t="n">
        <f aca="false">IF(AND($E$18&gt;0,A61&gt;=$E$18,AK60=0),1,0)</f>
        <v>1</v>
      </c>
      <c r="AI61" s="61" t="n">
        <f aca="false">IF(AH61=1,MIN(S61-$H$18,IF($I$18="",9,T61-$I$18)),"")</f>
        <v>1.21601409002193</v>
      </c>
      <c r="AJ61" s="61" t="n">
        <f aca="false">IF(AH61=1,MAX(0,MIN(100,AJ60+IF(AI61&gt;=0,3,IF(AI61&gt;=-2,-4,-10)))),AJ60)</f>
        <v>100</v>
      </c>
      <c r="AK61" s="64" t="n">
        <f aca="false">IF(OR(AK60=1,AND(AH61=1,AJ61&lt;25)),1,0)</f>
        <v>0</v>
      </c>
      <c r="AL61" s="10" t="n">
        <f aca="false">IF(AND($E$19&gt;0,A61&gt;=$E$19,AO60=0),1,0)</f>
        <v>1</v>
      </c>
      <c r="AM61" s="61" t="n">
        <f aca="false">IF(AL61=1,MIN(S61-$H$19,IF($I$19="",9,T61-$I$19)),"")</f>
        <v>0.216014090021929</v>
      </c>
      <c r="AN61" s="61" t="n">
        <f aca="false">IF(AL61=1,MAX(0,MIN(100,AN60+IF(AM61&gt;=0,3,IF(AM61&gt;=-2,-4,-10)))),AN60)</f>
        <v>100</v>
      </c>
      <c r="AO61" s="64" t="n">
        <f aca="false">IF(OR(AO60=1,AND(AL61=1,AN61&lt;25)),1,0)</f>
        <v>0</v>
      </c>
      <c r="AP61" s="10" t="n">
        <f aca="false">IF(AND($E$20&gt;0,A61&gt;=$E$20,AS60=0),1,0)</f>
        <v>0</v>
      </c>
      <c r="AQ61" s="61" t="str">
        <f aca="false">IF(AP61=1,MIN(S61-$H$20,IF($I$20="",9,T61-$I$20)),"")</f>
        <v/>
      </c>
      <c r="AR61" s="61" t="n">
        <f aca="false">IF(AP61=1,MAX(0,MIN(100,AR60+IF(AQ61&gt;=0,3,IF(AQ61&gt;=-2,-4,-10)))),AR60)</f>
        <v>60</v>
      </c>
      <c r="AS61" s="64" t="n">
        <f aca="false">IF(OR(AS60=1,AND(AP61=1,AR61&lt;25)),1,0)</f>
        <v>0</v>
      </c>
    </row>
    <row r="62" customFormat="false" ht="15" hidden="false" customHeight="true" outlineLevel="0" collapsed="false">
      <c r="A62" s="10" t="n">
        <v>24</v>
      </c>
      <c r="B62" s="59" t="n">
        <f aca="false">AD62*$F$17+AH62*$F$18+AL62*$F$19+AP62*$F$20</f>
        <v>1800</v>
      </c>
      <c r="C62" s="60" t="n">
        <f aca="false">B62/$B$6</f>
        <v>0.72</v>
      </c>
      <c r="D62" s="59" t="n">
        <f aca="false">AD62*$G$17+AH62*$G$18+AL62*$G$19+AP62*$G$20</f>
        <v>1030</v>
      </c>
      <c r="E62" s="59" t="n">
        <f aca="false">2*D62</f>
        <v>2060</v>
      </c>
      <c r="F62" s="10" t="n">
        <f aca="false">ROUNDUP(D62/$B$18,0)</f>
        <v>65</v>
      </c>
      <c r="G62" s="10" t="n">
        <f aca="false">MAX($B$29,ROUNDUP(E62/$B$17,0))</f>
        <v>3</v>
      </c>
      <c r="H62" s="10" t="n">
        <f aca="false">MAX(1,ROUNDUP(F62/$B$20,0))</f>
        <v>4</v>
      </c>
      <c r="I62" s="10" t="n">
        <f aca="false">$B$30+INT(D62/$B$28)</f>
        <v>2</v>
      </c>
      <c r="J62" s="10" t="n">
        <f aca="false">IF($B$35=1,G61,G62)</f>
        <v>3</v>
      </c>
      <c r="K62" s="10" t="n">
        <f aca="false">IF($B$35=1,H61,H62)</f>
        <v>4</v>
      </c>
      <c r="L62" s="10" t="n">
        <f aca="false">IF($B$35=1,I61,I62)</f>
        <v>2</v>
      </c>
      <c r="M62" s="61" t="n">
        <f aca="false">$B$17*(0.7+0.3*U61/70)</f>
        <v>862.972311713875</v>
      </c>
      <c r="N62" s="60" t="n">
        <f aca="false">E62/(J62*M62)</f>
        <v>0.795699534441536</v>
      </c>
      <c r="O62" s="60" t="n">
        <f aca="false">F62/(K62*$B$20)</f>
        <v>0.8125</v>
      </c>
      <c r="P62" s="61" t="n">
        <f aca="false">$F$11*IF(AND($E$11&gt;0,A62&gt;=$E$11),IF((A62-$E$11+1)*4.3&lt;=$J$11*IF($E$8=1,1.5,1),-0.5,1),0)+$F$12*IF(AND($E$12&gt;0,A62&gt;=$E$12),IF((A62-$E$12+1)*4.3&lt;=$J$12*IF($E$8=1,1.5,1),-0.5,1),0)</f>
        <v>1.5</v>
      </c>
      <c r="Q62" s="61" t="n">
        <f aca="false">$G$11*IF(AND($E$11&gt;0,A62&gt;=$E$11),IF((A62-$E$11+1)*4.3&lt;=$J$11*IF($E$8=1,1.5,1),-0.5,1),0)+$G$12*IF(AND($E$12&gt;0,A62&gt;=$E$12),IF((A62-$E$12+1)*4.3&lt;=$J$12*IF($E$8=1,1.5,1),-0.5,1),0)</f>
        <v>0</v>
      </c>
      <c r="R62" s="62" t="n">
        <f aca="false">IF(AND($E$11&gt;0,A62=$E$11),$H$11,0)+IF(AND($E$11&gt;0,A62&gt;=$E$11),$I$11,0)+IF(AND($E$12&gt;0,A62=$E$12),$H$12,0)+IF(AND($E$12&gt;0,A62&gt;=$E$12),$I$12,0)</f>
        <v>150</v>
      </c>
      <c r="S62" s="61" t="n">
        <f aca="false">MAX(50,MIN(99.9,$B$31+$B$32*($E$5-10)+Q62-20*MAX(0,O62-1)-5*MAX(0,N62-1.05)))</f>
        <v>94.8</v>
      </c>
      <c r="T62" s="61" t="n">
        <f aca="false">MAX(50,MIN(99.9,$B$33+$B$34*($E$6-10)+0.04*(U61-60)+P62-25*MAX(0,C62-0.85)-8*MAX(0,N62-1)))</f>
        <v>97.2160091585143</v>
      </c>
      <c r="U62" s="61" t="n">
        <f aca="false">MAX(0,MIN(100,U61+0.35*(58+0.6*($E$7-10)-30*MAX(0,N62-1)-20*MAX(0,O62-1)-U61)))</f>
        <v>60.4001488258567</v>
      </c>
      <c r="V62" s="62" t="n">
        <f aca="false">B62*$B$7+E62*$B$8+D62*$B$9</f>
        <v>48628</v>
      </c>
      <c r="W62" s="62" t="n">
        <f aca="false">(J62*$B$10+K62*$B$11+L62*$B$12)*$B$13/12</f>
        <v>21240.8333333333</v>
      </c>
      <c r="X62" s="62" t="n">
        <f aca="false">F62*$B$19*($B$22*$B$21+$B$23+$B$24)+K62*$B$25+MAX(0,K62-$B$27)*$B$26</f>
        <v>11882</v>
      </c>
      <c r="Y62" s="62" t="n">
        <f aca="false">$B$14+$B$15+$B$16</f>
        <v>9000</v>
      </c>
      <c r="Z62" s="62" t="n">
        <f aca="false">IF(AND(AD62=1,AE62&lt;-2),0.05*($F$17*$B$7+2*$G$17*$B$8+$G$17*$B$9),0)+IF(AND(AH62=1,AI62&lt;-2),0.05*($F$18*$B$7+2*$G$18*$B$8+$G$18*$B$9),0)+IF(AND(AL62=1,AM62&lt;-2),0.05*($F$19*$B$7+2*$G$19*$B$8+$G$19*$B$9),0)+IF(AND(AP62=1,AQ62&lt;-2),0.05*($F$20*$B$7+2*$G$20*$B$8+$G$20*$B$9),0)</f>
        <v>0</v>
      </c>
      <c r="AA62" s="63" t="n">
        <f aca="false">V62-W62-X62-Y62-R62-Z62</f>
        <v>6355.16666666667</v>
      </c>
      <c r="AB62" s="63" t="n">
        <f aca="false">AB61+AA62</f>
        <v>260477.066666666</v>
      </c>
      <c r="AD62" s="10" t="n">
        <f aca="false">IF(AND($E$17&gt;0,A62&gt;=$E$17,AG61=0),1,0)</f>
        <v>1</v>
      </c>
      <c r="AE62" s="61" t="n">
        <f aca="false">IF(AD62=1,MIN(S62-$H$17,IF($I$17="",9,T62-$I$17)),"")</f>
        <v>2.8</v>
      </c>
      <c r="AF62" s="61" t="n">
        <f aca="false">IF(AD62=1,MAX(0,MIN(100,AF61+IF(AE62&gt;=0,3,IF(AE62&gt;=-2,-4,-10)))),AF61)</f>
        <v>100</v>
      </c>
      <c r="AG62" s="64" t="n">
        <f aca="false">IF(OR(AG61=1,AND(AD62=1,AF62&lt;25)),1,0)</f>
        <v>0</v>
      </c>
      <c r="AH62" s="10" t="n">
        <f aca="false">IF(AND($E$18&gt;0,A62&gt;=$E$18,AK61=0),1,0)</f>
        <v>1</v>
      </c>
      <c r="AI62" s="61" t="n">
        <f aca="false">IF(AH62=1,MIN(S62-$H$18,IF($I$18="",9,T62-$I$18)),"")</f>
        <v>1.21600915851425</v>
      </c>
      <c r="AJ62" s="61" t="n">
        <f aca="false">IF(AH62=1,MAX(0,MIN(100,AJ61+IF(AI62&gt;=0,3,IF(AI62&gt;=-2,-4,-10)))),AJ61)</f>
        <v>100</v>
      </c>
      <c r="AK62" s="64" t="n">
        <f aca="false">IF(OR(AK61=1,AND(AH62=1,AJ62&lt;25)),1,0)</f>
        <v>0</v>
      </c>
      <c r="AL62" s="10" t="n">
        <f aca="false">IF(AND($E$19&gt;0,A62&gt;=$E$19,AO61=0),1,0)</f>
        <v>1</v>
      </c>
      <c r="AM62" s="61" t="n">
        <f aca="false">IF(AL62=1,MIN(S62-$H$19,IF($I$19="",9,T62-$I$19)),"")</f>
        <v>0.216009158514254</v>
      </c>
      <c r="AN62" s="61" t="n">
        <f aca="false">IF(AL62=1,MAX(0,MIN(100,AN61+IF(AM62&gt;=0,3,IF(AM62&gt;=-2,-4,-10)))),AN61)</f>
        <v>100</v>
      </c>
      <c r="AO62" s="64" t="n">
        <f aca="false">IF(OR(AO61=1,AND(AL62=1,AN62&lt;25)),1,0)</f>
        <v>0</v>
      </c>
      <c r="AP62" s="10" t="n">
        <f aca="false">IF(AND($E$20&gt;0,A62&gt;=$E$20,AS61=0),1,0)</f>
        <v>0</v>
      </c>
      <c r="AQ62" s="61" t="str">
        <f aca="false">IF(AP62=1,MIN(S62-$H$20,IF($I$20="",9,T62-$I$20)),"")</f>
        <v/>
      </c>
      <c r="AR62" s="61" t="n">
        <f aca="false">IF(AP62=1,MAX(0,MIN(100,AR61+IF(AQ62&gt;=0,3,IF(AQ62&gt;=-2,-4,-10)))),AR61)</f>
        <v>60</v>
      </c>
      <c r="AS62" s="64" t="n">
        <f aca="false">IF(OR(AS61=1,AND(AP62=1,AR62&lt;25)),1,0)</f>
        <v>0</v>
      </c>
    </row>
  </sheetData>
  <conditionalFormatting sqref="AB39:AB62">
    <cfRule type="cellIs" priority="2" operator="lessThan" aboveAverage="0" equalAverage="0" bottom="0" percent="0" rank="0" text="" dxfId="10">
      <formula>0</formula>
    </cfRule>
  </conditionalFormatting>
  <conditionalFormatting sqref="AA39:AA62">
    <cfRule type="cellIs" priority="3" operator="lessThan" aboveAverage="0" equalAverage="0" bottom="0" percent="0" rank="0" text="" dxfId="13">
      <formula>0</formula>
    </cfRule>
    <cfRule type="cellIs" priority="4" operator="greaterThanOrEqual" aboveAverage="0" equalAverage="0" bottom="0" percent="0" rank="0" text="" dxfId="14">
      <formula>0</formula>
    </cfRule>
  </conditionalFormatting>
  <conditionalFormatting sqref="AG39:AG62">
    <cfRule type="cellIs" priority="5" operator="equal" aboveAverage="0" equalAverage="0" bottom="0" percent="0" rank="0" text="" dxfId="10">
      <formula>1</formula>
    </cfRule>
  </conditionalFormatting>
  <conditionalFormatting sqref="AK39:AK62">
    <cfRule type="cellIs" priority="6" operator="equal" aboveAverage="0" equalAverage="0" bottom="0" percent="0" rank="0" text="" dxfId="10">
      <formula>1</formula>
    </cfRule>
  </conditionalFormatting>
  <conditionalFormatting sqref="AO39:AO62">
    <cfRule type="cellIs" priority="7" operator="equal" aboveAverage="0" equalAverage="0" bottom="0" percent="0" rank="0" text="" dxfId="10">
      <formula>1</formula>
    </cfRule>
  </conditionalFormatting>
  <conditionalFormatting sqref="AS39:AS62">
    <cfRule type="cellIs" priority="8" operator="equal" aboveAverage="0" equalAverage="0" bottom="0" percent="0" rank="0" text="" dxfId="1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2026-10-18T14:22:38Z</dcterms:created>
  <dc:creator>openpyxl</dc:creator>
  <dc:description/>
  <dc:language>en-US</dc:language>
  <cp:lastModifiedBy/>
  <dcterms:modified xsi:type="dcterms:W3CDTF">2026-10-18T15:53:14Z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